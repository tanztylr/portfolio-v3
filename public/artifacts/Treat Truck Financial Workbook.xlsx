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ainesystem-my.sharepoint.com/personal/tanzaneya_taylor_maine_edu/Documents/Documents/~~UMPI/Bus 200- Intermediate Busn Comp/Final Presentation Documents/"/>
    </mc:Choice>
  </mc:AlternateContent>
  <xr:revisionPtr revIDLastSave="185" documentId="8_{F39D3CAC-6FB2-4CC6-808E-2EB7E6FD3314}" xr6:coauthVersionLast="47" xr6:coauthVersionMax="47" xr10:uidLastSave="{9674C087-4334-49E8-8C10-730406DCA76C}"/>
  <bookViews>
    <workbookView xWindow="11955" yWindow="0" windowWidth="16950" windowHeight="15585" xr2:uid="{4DA0373C-9903-A347-9968-C10C330AD44F}"/>
  </bookViews>
  <sheets>
    <sheet name="Startup Costs" sheetId="1" r:id="rId1"/>
    <sheet name="Menu &amp; Product Costs" sheetId="2" r:id="rId2"/>
    <sheet name="Sales Forecast" sheetId="3" r:id="rId3"/>
    <sheet name="Operating Expenses" sheetId="4" r:id="rId4"/>
    <sheet name="Profit &amp; Loss" sheetId="5" r:id="rId5"/>
    <sheet name="Break-Even" sheetId="6" r:id="rId6"/>
    <sheet name="Revenue Chart" sheetId="7" r:id="rId7"/>
    <sheet name="Expense-Profit Chart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5" l="1"/>
  <c r="B4" i="5"/>
  <c r="B3" i="5"/>
  <c r="F18" i="3"/>
  <c r="F17" i="3"/>
  <c r="B8" i="6"/>
  <c r="B4" i="6"/>
  <c r="C14" i="4"/>
  <c r="D4" i="4"/>
  <c r="D5" i="4"/>
  <c r="D6" i="4"/>
  <c r="D7" i="4"/>
  <c r="D8" i="4"/>
  <c r="D9" i="4"/>
  <c r="D10" i="4"/>
  <c r="D11" i="4"/>
  <c r="D12" i="4"/>
  <c r="D3" i="4"/>
  <c r="D5" i="3"/>
  <c r="F5" i="3" s="1"/>
  <c r="D6" i="3"/>
  <c r="F6" i="3" s="1"/>
  <c r="H6" i="3" s="1"/>
  <c r="I6" i="3" s="1"/>
  <c r="J6" i="3" s="1"/>
  <c r="D7" i="3"/>
  <c r="F7" i="3" s="1"/>
  <c r="H7" i="3" s="1"/>
  <c r="I7" i="3" s="1"/>
  <c r="J7" i="3" s="1"/>
  <c r="D8" i="3"/>
  <c r="F8" i="3" s="1"/>
  <c r="H8" i="3" s="1"/>
  <c r="I8" i="3" s="1"/>
  <c r="J8" i="3" s="1"/>
  <c r="D9" i="3"/>
  <c r="F9" i="3" s="1"/>
  <c r="H9" i="3" s="1"/>
  <c r="I9" i="3" s="1"/>
  <c r="J9" i="3" s="1"/>
  <c r="D10" i="3"/>
  <c r="F10" i="3" s="1"/>
  <c r="D11" i="3"/>
  <c r="F11" i="3" s="1"/>
  <c r="H11" i="3" s="1"/>
  <c r="D12" i="3"/>
  <c r="F12" i="3" s="1"/>
  <c r="H12" i="3" s="1"/>
  <c r="D13" i="3"/>
  <c r="F13" i="3" s="1"/>
  <c r="H13" i="3" s="1"/>
  <c r="D14" i="3"/>
  <c r="F14" i="3" s="1"/>
  <c r="H14" i="3" s="1"/>
  <c r="I14" i="3" s="1"/>
  <c r="J14" i="3" s="1"/>
  <c r="D4" i="3"/>
  <c r="F4" i="3" s="1"/>
  <c r="D3" i="3"/>
  <c r="F3" i="3" s="1"/>
  <c r="D13" i="2"/>
  <c r="D12" i="2"/>
  <c r="F4" i="2"/>
  <c r="G4" i="2" s="1"/>
  <c r="F5" i="2"/>
  <c r="G5" i="2" s="1"/>
  <c r="F6" i="2"/>
  <c r="G6" i="2" s="1"/>
  <c r="F7" i="2"/>
  <c r="G7" i="2" s="1"/>
  <c r="F8" i="2"/>
  <c r="G8" i="2" s="1"/>
  <c r="F9" i="2"/>
  <c r="G9" i="2" s="1"/>
  <c r="F10" i="2"/>
  <c r="G10" i="2" s="1"/>
  <c r="F3" i="2"/>
  <c r="G3" i="2" s="1"/>
  <c r="C17" i="1"/>
  <c r="D14" i="2" l="1"/>
  <c r="H4" i="3"/>
  <c r="I4" i="3" s="1"/>
  <c r="J4" i="3" s="1"/>
  <c r="F22" i="3"/>
  <c r="C15" i="4"/>
  <c r="B6" i="5" s="1"/>
  <c r="I12" i="3"/>
  <c r="J12" i="3" s="1"/>
  <c r="H5" i="3"/>
  <c r="I5" i="3" s="1"/>
  <c r="J5" i="3" s="1"/>
  <c r="I13" i="3"/>
  <c r="J13" i="3" s="1"/>
  <c r="I11" i="3"/>
  <c r="J11" i="3" s="1"/>
  <c r="H10" i="3"/>
  <c r="I10" i="3" s="1"/>
  <c r="J10" i="3" s="1"/>
  <c r="H3" i="3"/>
  <c r="F19" i="3"/>
  <c r="F20" i="3" l="1"/>
  <c r="B2" i="8"/>
  <c r="B3" i="6"/>
  <c r="B5" i="6" s="1"/>
  <c r="F23" i="3" s="1"/>
  <c r="I3" i="3"/>
  <c r="B7" i="6" l="1"/>
  <c r="B9" i="6" s="1"/>
  <c r="B10" i="6" s="1"/>
  <c r="B6" i="6"/>
  <c r="B7" i="5"/>
  <c r="B3" i="8" s="1"/>
  <c r="J3" i="3"/>
  <c r="F21" i="3"/>
</calcChain>
</file>

<file path=xl/sharedStrings.xml><?xml version="1.0" encoding="utf-8"?>
<sst xmlns="http://schemas.openxmlformats.org/spreadsheetml/2006/main" count="277" uniqueCount="182">
  <si>
    <t>Startup Item</t>
  </si>
  <si>
    <t>Category</t>
  </si>
  <si>
    <t>Cost</t>
  </si>
  <si>
    <t>Source/Basis</t>
  </si>
  <si>
    <t>Annual/Recurring?</t>
  </si>
  <si>
    <t>Notes</t>
  </si>
  <si>
    <t>Cost Type</t>
  </si>
  <si>
    <t>POS + Tech</t>
  </si>
  <si>
    <t>Used food truck</t>
  </si>
  <si>
    <t>Customization &amp; branding</t>
  </si>
  <si>
    <t>Equipment</t>
  </si>
  <si>
    <t>Initial food inventory</t>
  </si>
  <si>
    <t>Launch Marketing</t>
  </si>
  <si>
    <t>GA LLC Formation</t>
  </si>
  <si>
    <t>Douglasville Food Truck Permit</t>
  </si>
  <si>
    <t>Base of Ops Assessment</t>
  </si>
  <si>
    <t>Businss Licence Fee</t>
  </si>
  <si>
    <t>Health Inspection</t>
  </si>
  <si>
    <t xml:space="preserve">Occupational Tax </t>
  </si>
  <si>
    <t>facility</t>
  </si>
  <si>
    <t>technology</t>
  </si>
  <si>
    <t>marketing</t>
  </si>
  <si>
    <t>planning estimate</t>
  </si>
  <si>
    <t>research-based</t>
  </si>
  <si>
    <t>TBD</t>
  </si>
  <si>
    <t>5-gal batch</t>
  </si>
  <si>
    <t>restaurant depot</t>
  </si>
  <si>
    <t>8-oz cup; crust or crustless; 24 batch</t>
  </si>
  <si>
    <t>frozen 12 oz: signature lemonade base + syrup</t>
  </si>
  <si>
    <t>frozen 20 oz: signature lemonade base + syrup</t>
  </si>
  <si>
    <t>cupcake: vanilla bean base + frosting</t>
  </si>
  <si>
    <t>cobbler 50/50 fruit-to-topping</t>
  </si>
  <si>
    <t>cinnamon roll: large bakery style</t>
  </si>
  <si>
    <t>fudge: choco/vanilla rotting flavors</t>
  </si>
  <si>
    <t xml:space="preserve">pudding: 8 oz rotating signature flavors </t>
  </si>
  <si>
    <t>Month</t>
  </si>
  <si>
    <t>Service Days</t>
  </si>
  <si>
    <t>Transactions</t>
  </si>
  <si>
    <t>Gross Sales</t>
  </si>
  <si>
    <t>Food &amp; Packaging %</t>
  </si>
  <si>
    <t>Food &amp; Packaging cost</t>
  </si>
  <si>
    <t>Gross Profit</t>
  </si>
  <si>
    <t>Gross Margin 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</si>
  <si>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</si>
  <si>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</si>
  <si>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</si>
  <si>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</si>
  <si>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</si>
  <si>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</si>
  <si>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</si>
  <si>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</si>
  <si>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</si>
  <si>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</si>
  <si>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</si>
  <si>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</si>
  <si>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 Ticket Cost</t>
  </si>
  <si>
    <t>Business Planning Assump.</t>
  </si>
  <si>
    <t>4 service days/week; 6 hours/day; 10 cust/hour</t>
  </si>
  <si>
    <t>Annual Sales</t>
  </si>
  <si>
    <t>Average Monthtly sales</t>
  </si>
  <si>
    <t>Highest Monthly Sales</t>
  </si>
  <si>
    <t>Annual Food &amp; Packaging Cost</t>
  </si>
  <si>
    <t>Annual Gross Profit</t>
  </si>
  <si>
    <t>Expenses</t>
  </si>
  <si>
    <t>Monthly Cost</t>
  </si>
  <si>
    <t>Cost type</t>
  </si>
  <si>
    <t>Source/ Basis</t>
  </si>
  <si>
    <t>Commissary</t>
  </si>
  <si>
    <t>insurance</t>
  </si>
  <si>
    <t>payment processing</t>
  </si>
  <si>
    <t>transportation</t>
  </si>
  <si>
    <t>vehicle/equipement</t>
  </si>
  <si>
    <t>operations</t>
  </si>
  <si>
    <t>labor</t>
  </si>
  <si>
    <t>calculated</t>
  </si>
  <si>
    <t>Nearby dedicated commissary benchmark</t>
  </si>
  <si>
    <t>Food-truck insurance planning benchmark</t>
  </si>
  <si>
    <t>Current Square Plus published pricing</t>
  </si>
  <si>
    <t>Business planning estimate</t>
  </si>
  <si>
    <t>Used food truck maintenance reserve</t>
  </si>
  <si>
    <t>Current foodservice supply pricing + planning allowance</t>
  </si>
  <si>
    <t>30 hrs/week × $16/hr + payroll burden</t>
  </si>
  <si>
    <t>Food-truck marketing benchmark + business planning assumption</t>
  </si>
  <si>
    <t>300 miles/week, 8 MPG, current GA gas price</t>
  </si>
  <si>
    <t>square Plus rate × projected transactions</t>
  </si>
  <si>
    <t>POS, phone, hotspot/data</t>
  </si>
  <si>
    <t>Break-Even metric</t>
  </si>
  <si>
    <t>Annual Amount</t>
  </si>
  <si>
    <t>Customers/day</t>
  </si>
  <si>
    <t>Lowest Monthly Sales</t>
  </si>
  <si>
    <t>Break-Even Status</t>
  </si>
  <si>
    <t>Total Startup Costs</t>
  </si>
  <si>
    <t>Commissary deposit + first month</t>
  </si>
  <si>
    <t>Initial packaging inventory</t>
  </si>
  <si>
    <t>Vehicle</t>
  </si>
  <si>
    <t>Vehicle/ Branding</t>
  </si>
  <si>
    <t>Facility</t>
  </si>
  <si>
    <t>Inventory</t>
  </si>
  <si>
    <t>Technology</t>
  </si>
  <si>
    <t>Marketing</t>
  </si>
  <si>
    <t>Legal/compiance</t>
  </si>
  <si>
    <t>Complaiance</t>
  </si>
  <si>
    <t>Fudge</t>
  </si>
  <si>
    <t>Pudding- Classic</t>
  </si>
  <si>
    <t>Cinnamon Roll</t>
  </si>
  <si>
    <t>Individual Cobbler</t>
  </si>
  <si>
    <t>Signature Cupcake</t>
  </si>
  <si>
    <t>Frozen Creation- 20 oz</t>
  </si>
  <si>
    <t>Frozen Creation- 12 oz</t>
  </si>
  <si>
    <t>Cheesecake Cup</t>
  </si>
  <si>
    <t>Core</t>
  </si>
  <si>
    <t>Rotating</t>
  </si>
  <si>
    <t>Treat Truck - Annual Sales Forecast</t>
  </si>
  <si>
    <t>Annual Financial Summary</t>
  </si>
  <si>
    <t>Gross sales</t>
  </si>
  <si>
    <t>Food  &amp; packaging</t>
  </si>
  <si>
    <t>Gross profit</t>
  </si>
  <si>
    <t>Operating expenses</t>
  </si>
  <si>
    <t>Operating profit</t>
  </si>
  <si>
    <t>Treat Truck— Projected Profit &amp; Loss</t>
  </si>
  <si>
    <t>Treat Truck- Break-Even Analysis</t>
  </si>
  <si>
    <t>Contribution margin</t>
  </si>
  <si>
    <t>Average Customer spend</t>
  </si>
  <si>
    <t>Annual-Break even sale</t>
  </si>
  <si>
    <t>Amount</t>
  </si>
  <si>
    <t>Annual Operating expense</t>
  </si>
  <si>
    <t>Monthly Break Even sales</t>
  </si>
  <si>
    <t>Weekly Break Even sales</t>
  </si>
  <si>
    <t>Break Even customer/week</t>
  </si>
  <si>
    <t>Break Even customer/day</t>
  </si>
  <si>
    <t>Product</t>
  </si>
  <si>
    <t>Batch Yield</t>
  </si>
  <si>
    <t>Selling Price</t>
  </si>
  <si>
    <t>Direct cost/unit</t>
  </si>
  <si>
    <t>Gross profit/ unit</t>
  </si>
  <si>
    <t>Gross margin %</t>
  </si>
  <si>
    <t>Annual Cost</t>
  </si>
  <si>
    <t>Insurance</t>
  </si>
  <si>
    <t>Square Plus</t>
  </si>
  <si>
    <t>Mobile Business Data Phone</t>
  </si>
  <si>
    <t>Fuel</t>
  </si>
  <si>
    <t>Main &amp; Repairs</t>
  </si>
  <si>
    <t>Cleaning &amp; Sanitation</t>
  </si>
  <si>
    <t>Part-Time Labor</t>
  </si>
  <si>
    <t>Payment Processing</t>
  </si>
  <si>
    <t>Total Monthly Expenses</t>
  </si>
  <si>
    <t>Total Annual Expenses</t>
  </si>
  <si>
    <t>Treat Truck — Operating Expenses</t>
  </si>
  <si>
    <t>Required base of operations</t>
  </si>
  <si>
    <t>Truck/ business coverage</t>
  </si>
  <si>
    <t>Truck and onboard equipment</t>
  </si>
  <si>
    <t>Truck and food-service sanitation</t>
  </si>
  <si>
    <t>One part time serivce employee</t>
  </si>
  <si>
    <t>Varible with sales volume</t>
  </si>
  <si>
    <t>Ongoing Promotion</t>
  </si>
  <si>
    <t>POS Software</t>
  </si>
  <si>
    <t>Mobile Operations and Travel</t>
  </si>
  <si>
    <t>NO</t>
  </si>
  <si>
    <t>Major startup investment; used truck</t>
  </si>
  <si>
    <t>initial visual identify and truck mods</t>
  </si>
  <si>
    <t>cooking &amp; service equipment</t>
  </si>
  <si>
    <t>includes commissary deposit &amp; 1st month</t>
  </si>
  <si>
    <t>opening food invetory</t>
  </si>
  <si>
    <t>opening packaing supply</t>
  </si>
  <si>
    <t>initial POS hardare/softwqare setup</t>
  </si>
  <si>
    <t>initial promo expenses</t>
  </si>
  <si>
    <t>GA business formation</t>
  </si>
  <si>
    <t>douglasvilla mobile food truck permit</t>
  </si>
  <si>
    <t>base of pos assessment</t>
  </si>
  <si>
    <t>required health inspection</t>
  </si>
  <si>
    <t xml:space="preserve">amount to be confirmed </t>
  </si>
  <si>
    <t>business licnse/ occupational tax filing</t>
  </si>
  <si>
    <t>Treat Truck- Startup Costs</t>
  </si>
  <si>
    <t>Average Selling Price</t>
  </si>
  <si>
    <t>Average Direct Cost</t>
  </si>
  <si>
    <t>Average Gross Margin</t>
  </si>
  <si>
    <t>Treat Truck- Menu &amp; Product Costs</t>
  </si>
  <si>
    <t>investment category</t>
  </si>
  <si>
    <t>cost</t>
  </si>
  <si>
    <t>Facility/ Compliance</t>
  </si>
  <si>
    <t>Tech / Launch Marketing</t>
  </si>
  <si>
    <t>Vehicle &amp; branding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</si>
</sst>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[$$-409]* #,##0.00_);_([$$-409]* \(#,##0.00\);_([$$-409]* &quot;-&quot;??_);_(@_)"/>
    <numFmt numFmtId="166" formatCode="_([$$-409]* #,##0_);_([$$-409]* \(#,##0\);_([$$-409]* &quot;-&quot;??_);_(@_)"/>
    <numFmt numFmtId="167" formatCode="0.0%"/>
    <numFmt numFmtId="168" formatCode="&quot;$&quot;#,##0.00"/>
  </numFmts>
  <fonts count="1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theme="1"/>
      <name val="Arial Unicode MS"/>
      <family val="2"/>
    </font>
    <font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8" tint="-0.499984740745262"/>
      <name val="Aptos Narrow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3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3"/>
        <bgColor indexed="64"/>
      </patternFill>
    </fill>
    <fill>
      <patternFill patternType="solid">
        <fgColor rgb="FF17416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966FF"/>
        <bgColor indexed="64"/>
      </patternFill>
    </fill>
  </fills>
  <borders count="9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106">
    <xf numFmtId="0" fontId="0" fillId="0" borderId="0" xfId="0"/>
    <xf numFmtId="0" fontId="6" fillId="0" borderId="0" xfId="0" applyFont="1"/>
    <xf numFmtId="0" fontId="6" fillId="0" borderId="0" xfId="0" applyFont="1" applyAlignment="1">
      <alignment wrapText="1"/>
    </xf>
    <xf numFmtId="164" fontId="0" fillId="0" borderId="0" xfId="2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 vertical="center"/>
    </xf>
    <xf numFmtId="44" fontId="0" fillId="0" borderId="2" xfId="2" applyFont="1" applyBorder="1"/>
    <xf numFmtId="9" fontId="0" fillId="0" borderId="2" xfId="3" applyFont="1" applyBorder="1"/>
    <xf numFmtId="0" fontId="9" fillId="0" borderId="2" xfId="0" applyFont="1" applyBorder="1" applyAlignment="1">
      <alignment horizontal="left"/>
    </xf>
    <xf numFmtId="0" fontId="0" fillId="0" borderId="2" xfId="0" applyBorder="1"/>
    <xf numFmtId="0" fontId="9" fillId="0" borderId="4" xfId="0" applyFont="1" applyBorder="1" applyAlignment="1">
      <alignment horizontal="left"/>
    </xf>
    <xf numFmtId="0" fontId="10" fillId="3" borderId="2" xfId="0" applyFont="1" applyFill="1" applyBorder="1" applyAlignment="1">
      <alignment horizontal="center" vertical="center" wrapText="1"/>
    </xf>
    <xf numFmtId="0" fontId="3" fillId="4" borderId="0" xfId="0" applyFont="1" applyFill="1"/>
    <xf numFmtId="0" fontId="9" fillId="5" borderId="2" xfId="0" applyFont="1" applyFill="1" applyBorder="1" applyAlignment="1">
      <alignment horizontal="left"/>
    </xf>
    <xf numFmtId="0" fontId="10" fillId="4" borderId="2" xfId="0" applyFont="1" applyFill="1" applyBorder="1" applyAlignment="1">
      <alignment horizontal="center" vertical="center"/>
    </xf>
    <xf numFmtId="44" fontId="9" fillId="6" borderId="2" xfId="2" applyFont="1" applyFill="1" applyBorder="1"/>
    <xf numFmtId="44" fontId="0" fillId="0" borderId="0" xfId="2" applyFont="1"/>
    <xf numFmtId="0" fontId="10" fillId="4" borderId="2" xfId="0" applyFont="1" applyFill="1" applyBorder="1" applyAlignment="1">
      <alignment horizontal="center" vertical="center" wrapText="1"/>
    </xf>
    <xf numFmtId="0" fontId="9" fillId="7" borderId="2" xfId="0" applyFont="1" applyFill="1" applyBorder="1"/>
    <xf numFmtId="44" fontId="9" fillId="7" borderId="2" xfId="2" applyFont="1" applyFill="1" applyBorder="1"/>
    <xf numFmtId="2" fontId="0" fillId="0" borderId="2" xfId="1" applyNumberFormat="1" applyFont="1" applyBorder="1"/>
    <xf numFmtId="0" fontId="0" fillId="7" borderId="2" xfId="0" applyFill="1" applyBorder="1"/>
    <xf numFmtId="2" fontId="0" fillId="7" borderId="2" xfId="1" applyNumberFormat="1" applyFont="1" applyFill="1" applyBorder="1"/>
    <xf numFmtId="0" fontId="10" fillId="3" borderId="2" xfId="0" applyFont="1" applyFill="1" applyBorder="1" applyAlignment="1">
      <alignment horizontal="center" vertical="center"/>
    </xf>
    <xf numFmtId="44" fontId="10" fillId="3" borderId="2" xfId="2" applyFont="1" applyFill="1" applyBorder="1" applyAlignment="1">
      <alignment horizontal="center" vertical="center"/>
    </xf>
    <xf numFmtId="166" fontId="8" fillId="8" borderId="1" xfId="4" applyNumberFormat="1" applyFont="1" applyFill="1" applyBorder="1"/>
    <xf numFmtId="0" fontId="7" fillId="8" borderId="0" xfId="0" applyFont="1" applyFill="1" applyAlignment="1">
      <alignment horizontal="center" vertical="center" wrapText="1"/>
    </xf>
    <xf numFmtId="0" fontId="0" fillId="8" borderId="0" xfId="0" applyFill="1"/>
    <xf numFmtId="44" fontId="4" fillId="8" borderId="0" xfId="2" applyFont="1" applyFill="1"/>
    <xf numFmtId="167" fontId="4" fillId="8" borderId="0" xfId="3" applyNumberFormat="1" applyFont="1" applyFill="1"/>
    <xf numFmtId="0" fontId="10" fillId="8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8" fontId="0" fillId="0" borderId="0" xfId="0" applyNumberFormat="1"/>
    <xf numFmtId="168" fontId="0" fillId="0" borderId="0" xfId="2" applyNumberFormat="1" applyFont="1"/>
    <xf numFmtId="164" fontId="10" fillId="4" borderId="2" xfId="2" applyNumberFormat="1" applyFont="1" applyFill="1" applyBorder="1" applyAlignment="1">
      <alignment horizontal="center" vertical="center" wrapText="1"/>
    </xf>
    <xf numFmtId="0" fontId="10" fillId="7" borderId="2" xfId="0" applyFont="1" applyFill="1" applyBorder="1"/>
    <xf numFmtId="164" fontId="10" fillId="7" borderId="2" xfId="2" applyNumberFormat="1" applyFont="1" applyFill="1" applyBorder="1"/>
    <xf numFmtId="0" fontId="10" fillId="7" borderId="5" xfId="0" applyFont="1" applyFill="1" applyBorder="1"/>
    <xf numFmtId="164" fontId="10" fillId="7" borderId="6" xfId="2" applyNumberFormat="1" applyFont="1" applyFill="1" applyBorder="1"/>
    <xf numFmtId="0" fontId="10" fillId="7" borderId="8" xfId="0" applyFont="1" applyFill="1" applyBorder="1"/>
    <xf numFmtId="0" fontId="10" fillId="7" borderId="7" xfId="0" applyFont="1" applyFill="1" applyBorder="1"/>
    <xf numFmtId="0" fontId="7" fillId="0" borderId="0" xfId="0" applyFont="1" applyAlignment="1">
      <alignment horizontal="center" vertical="center" wrapText="1"/>
    </xf>
    <xf numFmtId="166" fontId="8" fillId="0" borderId="0" xfId="4" applyNumberFormat="1" applyFont="1" applyFill="1" applyBorder="1"/>
    <xf numFmtId="0" fontId="7" fillId="8" borderId="2" xfId="0" applyFont="1" applyFill="1" applyBorder="1" applyAlignment="1">
      <alignment horizontal="center" vertical="center" wrapText="1"/>
    </xf>
    <xf numFmtId="44" fontId="7" fillId="8" borderId="2" xfId="2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9" fillId="6" borderId="2" xfId="0" applyFont="1" applyFill="1" applyBorder="1" applyAlignment="1">
      <alignment horizontal="center"/>
    </xf>
    <xf numFmtId="166" fontId="10" fillId="8" borderId="0" xfId="4" applyNumberFormat="1" applyFont="1" applyFill="1" applyBorder="1"/>
    <xf numFmtId="44" fontId="10" fillId="8" borderId="0" xfId="2" applyFont="1" applyFill="1" applyBorder="1"/>
    <xf numFmtId="44" fontId="4" fillId="8" borderId="0" xfId="3" applyNumberFormat="1" applyFont="1" applyFill="1"/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center" wrapText="1"/>
    </xf>
    <xf numFmtId="165" fontId="0" fillId="0" borderId="2" xfId="0" applyNumberFormat="1" applyBorder="1" applyAlignment="1">
      <alignment wrapText="1"/>
    </xf>
    <xf numFmtId="167" fontId="0" fillId="0" borderId="2" xfId="3" applyNumberFormat="1" applyFont="1" applyBorder="1" applyAlignment="1">
      <alignment wrapText="1"/>
    </xf>
    <xf numFmtId="0" fontId="0" fillId="0" borderId="2" xfId="0" applyBorder="1" applyAlignment="1">
      <alignment wrapText="1"/>
    </xf>
    <xf numFmtId="0" fontId="10" fillId="8" borderId="0" xfId="0" applyFont="1" applyFill="1" applyAlignment="1">
      <alignment horizontal="left" vertical="center" wrapText="1"/>
    </xf>
    <xf numFmtId="44" fontId="9" fillId="8" borderId="0" xfId="2" applyFont="1" applyFill="1" applyAlignment="1">
      <alignment horizontal="left"/>
    </xf>
    <xf numFmtId="0" fontId="0" fillId="8" borderId="0" xfId="0" applyFill="1" applyAlignment="1">
      <alignment horizontal="center"/>
    </xf>
    <xf numFmtId="168" fontId="10" fillId="3" borderId="2" xfId="0" applyNumberFormat="1" applyFont="1" applyFill="1" applyBorder="1" applyAlignment="1">
      <alignment horizontal="center" vertical="center" wrapText="1"/>
    </xf>
    <xf numFmtId="167" fontId="10" fillId="3" borderId="2" xfId="0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168" fontId="0" fillId="0" borderId="2" xfId="2" applyNumberFormat="1" applyFont="1" applyBorder="1" applyAlignment="1">
      <alignment horizontal="right"/>
    </xf>
    <xf numFmtId="168" fontId="9" fillId="0" borderId="2" xfId="2" applyNumberFormat="1" applyFont="1" applyBorder="1" applyAlignment="1">
      <alignment horizontal="right"/>
    </xf>
    <xf numFmtId="167" fontId="0" fillId="0" borderId="2" xfId="3" applyNumberFormat="1" applyFont="1" applyBorder="1" applyAlignment="1">
      <alignment horizontal="right"/>
    </xf>
    <xf numFmtId="168" fontId="5" fillId="0" borderId="2" xfId="2" applyNumberFormat="1" applyFont="1" applyBorder="1" applyAlignment="1">
      <alignment horizontal="right"/>
    </xf>
    <xf numFmtId="0" fontId="0" fillId="0" borderId="7" xfId="0" applyBorder="1" applyAlignment="1">
      <alignment horizontal="right" vertical="center"/>
    </xf>
    <xf numFmtId="168" fontId="0" fillId="0" borderId="7" xfId="2" applyNumberFormat="1" applyFont="1" applyBorder="1" applyAlignment="1">
      <alignment horizontal="right"/>
    </xf>
    <xf numFmtId="168" fontId="9" fillId="0" borderId="7" xfId="2" applyNumberFormat="1" applyFont="1" applyBorder="1" applyAlignment="1">
      <alignment horizontal="right"/>
    </xf>
    <xf numFmtId="167" fontId="0" fillId="0" borderId="7" xfId="3" applyNumberFormat="1" applyFont="1" applyBorder="1" applyAlignment="1">
      <alignment horizontal="right"/>
    </xf>
    <xf numFmtId="168" fontId="5" fillId="0" borderId="7" xfId="2" applyNumberFormat="1" applyFont="1" applyBorder="1" applyAlignment="1">
      <alignment horizontal="right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168" fontId="0" fillId="0" borderId="0" xfId="2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0" fontId="13" fillId="0" borderId="3" xfId="0" applyFont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168" fontId="11" fillId="0" borderId="0" xfId="0" applyNumberFormat="1" applyFont="1" applyAlignment="1">
      <alignment horizontal="right" vertical="center"/>
    </xf>
    <xf numFmtId="168" fontId="13" fillId="0" borderId="0" xfId="0" applyNumberFormat="1" applyFont="1" applyAlignment="1">
      <alignment horizontal="right" vertical="center"/>
    </xf>
    <xf numFmtId="167" fontId="11" fillId="0" borderId="0" xfId="0" applyNumberFormat="1" applyFont="1" applyAlignment="1">
      <alignment horizontal="right" vertical="center"/>
    </xf>
    <xf numFmtId="0" fontId="0" fillId="0" borderId="4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0" xfId="0" applyFill="1" applyAlignment="1">
      <alignment horizontal="right"/>
    </xf>
    <xf numFmtId="168" fontId="0" fillId="5" borderId="0" xfId="0" applyNumberFormat="1" applyFill="1" applyAlignment="1">
      <alignment horizontal="right"/>
    </xf>
    <xf numFmtId="168" fontId="9" fillId="5" borderId="0" xfId="2" applyNumberFormat="1" applyFont="1" applyFill="1" applyAlignment="1">
      <alignment horizontal="right"/>
    </xf>
    <xf numFmtId="168" fontId="9" fillId="5" borderId="0" xfId="0" applyNumberFormat="1" applyFont="1" applyFill="1" applyAlignment="1">
      <alignment horizontal="right"/>
    </xf>
    <xf numFmtId="167" fontId="0" fillId="0" borderId="2" xfId="3" applyNumberFormat="1" applyFont="1" applyBorder="1" applyAlignment="1">
      <alignment horizontal="right" vertical="center" wrapText="1"/>
    </xf>
    <xf numFmtId="167" fontId="0" fillId="0" borderId="7" xfId="3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7" xfId="0" applyFont="1" applyBorder="1" applyAlignment="1">
      <alignment horizontal="right" vertical="center" wrapText="1"/>
    </xf>
    <xf numFmtId="0" fontId="12" fillId="4" borderId="0" xfId="0" applyFont="1" applyFill="1" applyAlignment="1">
      <alignment horizontal="center"/>
    </xf>
    <xf numFmtId="0" fontId="11" fillId="4" borderId="3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2" fillId="4" borderId="2" xfId="0" applyFont="1" applyFill="1" applyBorder="1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 vertical="center" wrapText="1"/>
    </xf>
    <xf numFmtId="166" fontId="14" fillId="0" borderId="0" xfId="4" applyNumberFormat="1" applyFont="1" applyFill="1" applyBorder="1"/>
  </cellXfs>
  <cellStyles count="5">
    <cellStyle name="Accent5" xfId="4" builtinId="45"/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17416B"/>
      <color rgb="FF9966FF"/>
      <color rgb="FF003DB8"/>
      <color rgb="FFD883FF"/>
      <color rgb="FF9420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Startup</a:t>
            </a:r>
            <a:r>
              <a:rPr lang="en-US" baseline="0"/>
              <a:t> Investment Breakdown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'Startup Costs'!$J$2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'Startup Costs'!$I$3:$I$7</c:f>
              <c:strCache>
                <c:ptCount val="5"/>
                <c:pt idx="0">
                  <c:v>Vehicle &amp; branding</c:v>
                </c:pt>
                <c:pt idx="1">
                  <c:v>Equipment</c:v>
                </c:pt>
                <c:pt idx="2">
                  <c:v>Inventory</c:v>
                </c:pt>
                <c:pt idx="3">
                  <c:v>Tech / Launch Marketing</c:v>
                </c:pt>
                <c:pt idx="4">
                  <c:v>Facility/ Compliance</c:v>
                </c:pt>
              </c:strCache>
            </c:strRef>
          </c:cat>
          <c:val>
            <c:numRef>
              <c:f>'Startup Costs'!$J$3:$J$7</c:f>
              <c:numCache>
                <c:formatCode>_("$"* #,##0_);_("$"* \(#,##0\);_("$"* "-"??_);_(@_)</c:formatCode>
                <c:ptCount val="5"/>
                <c:pt idx="0">
                  <c:v>75000</c:v>
                </c:pt>
                <c:pt idx="1">
                  <c:v>18500</c:v>
                </c:pt>
                <c:pt idx="2">
                  <c:v>5500</c:v>
                </c:pt>
                <c:pt idx="3">
                  <c:v>4500</c:v>
                </c:pt>
                <c:pt idx="4">
                  <c:v>3050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01-4456-A71F-C491734150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5553775"/>
        <c:axId val="2128166448"/>
      </c:barChart>
      <c:catAx>
        <c:axId val="465553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166448"/>
        <c:crosses val="autoZero"/>
        <c:auto val="1"/>
        <c:lblAlgn val="ctr"/>
        <c:lblOffset val="100"/>
        <c:noMultiLvlLbl val="0"/>
      </c:catAx>
      <c:valAx>
        <c:axId val="212816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553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Treat Truck Monthly Gross Sales</a:t>
            </a:r>
          </a:p>
        </c:rich>
      </c:tx>
      <c:layout>
        <c:manualLayout>
          <c:xMode val="edge"/>
          <c:yMode val="edge"/>
          <c:x val="0.27830341228108924"/>
          <c:y val="3.67362034291168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06555454591573"/>
          <c:y val="0.16343568165090475"/>
          <c:w val="0.87129396325459318"/>
          <c:h val="0.606730096237970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Forecast'!$F$2</c:f>
              <c:strCache>
                <c:ptCount val="1"/>
                <c:pt idx="0">
                  <c:v>Gross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Forecast'!$A$3:$A$14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Forecast'!$F$3:$F$14</c:f>
              <c:numCache>
                <c:formatCode>"$"#,##0.00</c:formatCode>
                <c:ptCount val="12"/>
                <c:pt idx="0">
                  <c:v>10800</c:v>
                </c:pt>
                <c:pt idx="1">
                  <c:v>9600</c:v>
                </c:pt>
                <c:pt idx="2">
                  <c:v>10200</c:v>
                </c:pt>
                <c:pt idx="3">
                  <c:v>10200</c:v>
                </c:pt>
                <c:pt idx="4">
                  <c:v>10800</c:v>
                </c:pt>
                <c:pt idx="5">
                  <c:v>10200</c:v>
                </c:pt>
                <c:pt idx="6">
                  <c:v>10800</c:v>
                </c:pt>
                <c:pt idx="7">
                  <c:v>10200</c:v>
                </c:pt>
                <c:pt idx="8">
                  <c:v>10200</c:v>
                </c:pt>
                <c:pt idx="9">
                  <c:v>10800</c:v>
                </c:pt>
                <c:pt idx="10">
                  <c:v>9600</c:v>
                </c:pt>
                <c:pt idx="11">
                  <c:v>11400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2E-514B-8768-90C6EAA15A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26012287"/>
        <c:axId val="1026014079"/>
      </c:barChart>
      <c:catAx>
        <c:axId val="10260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014079"/>
        <c:crosses val="autoZero"/>
        <c:auto val="1"/>
        <c:lblAlgn val="ctr"/>
        <c:lblOffset val="100"/>
        <c:noMultiLvlLbl val="0"/>
      </c:catAx>
      <c:valAx>
        <c:axId val="1026014079"/>
        <c:scaling>
          <c:orientation val="minMax"/>
        </c:scaling>
        <c:delete val="1"/>
        <c:axPos val="l"/>
        <c:numFmt formatCode="&quot;$&quot;#,##0.00" sourceLinked="1"/>
        <c:majorTickMark val="none"/>
        <c:minorTickMark val="none"/>
        <c:tickLblPos val="nextTo"/>
        <c:crossAx val="1026012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Treat Truck Annual Expenses vs. Operating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83701140496452E-2"/>
          <c:y val="0.1218403110893239"/>
          <c:w val="0.90043204689099965"/>
          <c:h val="0.790943457716387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'Expense-Profit Chart'!$B$1</c:f>
              <c:strCache>
                <c:ptCount val="1"/>
                <c:pt idx="0">
                  <c:v>Annual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'Expense-Profit Chart'!$A$2:$A$3</c:f>
              <c:strCache>
                <c:ptCount val="2"/>
                <c:pt idx="0">
                  <c:v>Operating expenses</c:v>
                </c:pt>
                <c:pt idx="1">
                  <c:v>Operating profit</c:v>
                </c:pt>
              </c:strCache>
            </c:strRef>
          </c:cat>
          <c:val>
            <c:numRef>
              <c:f>'Expense-Profit Chart'!$B$2:$B$3</c:f>
              <c:numCache>
                <c:formatCode>_("$"* #,##0.00_);_("$"* \(#,##0.00\);_("$"* "-"??_);_(@_)</c:formatCode>
                <c:ptCount val="2"/>
                <c:pt idx="0">
                  <c:v>69084</c:v>
                </c:pt>
                <c:pt idx="1">
                  <c:v>18276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12-4042-A457-3F554F93C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9542783"/>
        <c:axId val="1009544575"/>
      </c:barChart>
      <c:catAx>
        <c:axId val="100954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544575"/>
        <c:crosses val="autoZero"/>
        <c:auto val="1"/>
        <c:lblAlgn val="ctr"/>
        <c:lblOffset val="100"/>
        <c:noMultiLvlLbl val="0"/>
      </c:catAx>
      <c:valAx>
        <c:axId val="100954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542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783168</xdr:colOff>
      <xdr:row>8</xdr:row>
      <xdr:rowOff>162982</xdr:rowOff>
    </xdr:from>
    <xdr:to>
      <xdr:col>14</xdr:col>
      <xdr:colOff>31750</xdr:colOff>
      <xdr:row>24</xdr:row>
      <xdr:rowOff>21165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BE3782-0120-DAA1-0AA4-92EC3F93E9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11</xdr:col>
      <xdr:colOff>419101</xdr:colOff>
      <xdr:row>18</xdr:row>
      <xdr:rowOff>19050</xdr:rowOff>
    </xdr:to>
    <xdr:graphicFrame macro="">
      <xdr:nvGraphicFramePr>
        <xdr:cNvPr id="2" name="Chart 1" descr="Monthly gross sales for Treat Truck from January through December, based on projected service days, customers per day, and average customer spending.">
          <a:extLst>
            <a:ext uri="{FF2B5EF4-FFF2-40B4-BE49-F238E27FC236}">
              <a16:creationId xmlns:a16="http://schemas.microsoft.com/office/drawing/2014/main" id="{1646C59E-8CA7-1046-8E4D-76B3C69C6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6349</xdr:colOff>
      <xdr:row>7</xdr:row>
      <xdr:rowOff>190500</xdr:rowOff>
    </xdr:from>
    <xdr:to>
      <xdr:col>7</xdr:col>
      <xdr:colOff>180974</xdr:colOff>
      <xdr:row>26</xdr:row>
      <xdr:rowOff>47624</xdr:rowOff>
    </xdr:to>
    <xdr:graphicFrame macro="">
      <xdr:nvGraphicFramePr>
        <xdr:cNvPr id="2" name="Chart 1" descr="Annual comparison of Treat Truck operating expenses and operating profit, showing $69,084 in operating expenses and $18,276 in operating profit.">
          <a:extLst>
            <a:ext uri="{FF2B5EF4-FFF2-40B4-BE49-F238E27FC236}">
              <a16:creationId xmlns:a16="http://schemas.microsoft.com/office/drawing/2014/main" id="{1158FEA1-A3B5-60A6-9EA7-7FE89C7C0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C5B3F-DFD7-CC4C-A6E0-2223A2395000}">
  <dimension ref="A1:LP17"/>
  <sheetViews>
    <sheetView tabSelected="1" topLeftCell="G1" zoomScale="90" zoomScaleNormal="90" workbookViewId="0">
      <selection activeCell="J3" sqref="J3:J5"/>
    </sheetView>
  </sheetViews>
  <sheetFormatPr defaultColWidth="10.875" defaultRowHeight="15.75" x14ac:dyDescent="0.25"/>
  <cols>
    <col min="1" max="1" width="29" bestFit="1" customWidth="1"/>
    <col min="2" max="2" width="15.125" customWidth="1"/>
    <col min="3" max="3" width="13.5" style="18" bestFit="1" customWidth="1"/>
    <col min="4" max="4" width="19.5" customWidth="1"/>
    <col min="5" max="5" width="17.5" customWidth="1"/>
    <col min="6" max="6" width="18.125" customWidth="1"/>
    <col min="7" max="7" width="40.625" customWidth="1"/>
    <col min="9" max="9" width="17.625" style="103" customWidth="1"/>
    <col min="10" max="10" width="11.125" bestFit="1" customWidth="1"/>
  </cols>
  <sheetData>
    <row r="1" spans="1:328" ht="21" x14ac:dyDescent="0.25">
      <c r="A1" s="101" t="s">
        <v>172</v>
      </c>
      <c r="B1" s="101"/>
      <c r="C1" s="101"/>
      <c r="D1" s="101"/>
      <c r="E1" s="101"/>
      <c r="F1" s="101"/>
      <c r="G1" s="101"/>
    </row>
    <row r="2" spans="1:328" s="28" customFormat="1" ht="30" customHeight="1" x14ac:dyDescent="0.25">
      <c r="A2" s="45" t="s">
        <v>0</v>
      </c>
      <c r="B2" s="45" t="s">
        <v>1</v>
      </c>
      <c r="C2" s="46" t="s">
        <v>2</v>
      </c>
      <c r="D2" s="45" t="s">
        <v>6</v>
      </c>
      <c r="E2" s="45" t="s">
        <v>3</v>
      </c>
      <c r="F2" s="45" t="s">
        <v>4</v>
      </c>
      <c r="G2" s="45" t="s">
        <v>5</v>
      </c>
      <c r="H2" s="43"/>
      <c r="I2" s="104" t="s">
        <v>177</v>
      </c>
      <c r="J2" s="104" t="s">
        <v>178</v>
      </c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  <c r="GE2" s="43"/>
      <c r="GF2" s="43"/>
      <c r="GG2" s="43"/>
      <c r="GH2" s="43"/>
      <c r="GI2" s="43"/>
      <c r="GJ2" s="43"/>
      <c r="GK2" s="43"/>
      <c r="GL2" s="43"/>
      <c r="GM2" s="43"/>
      <c r="GN2" s="43"/>
      <c r="GO2" s="43"/>
      <c r="GP2" s="43"/>
      <c r="GQ2" s="43"/>
      <c r="GR2" s="43"/>
      <c r="GS2" s="43"/>
      <c r="GT2" s="43"/>
      <c r="GU2" s="43"/>
      <c r="GV2" s="43"/>
      <c r="GW2" s="43"/>
      <c r="GX2" s="43"/>
      <c r="GY2" s="43"/>
      <c r="GZ2" s="43"/>
      <c r="HA2" s="43"/>
      <c r="HB2" s="43"/>
      <c r="HC2" s="43"/>
      <c r="HD2" s="43"/>
      <c r="HE2" s="43"/>
      <c r="HF2" s="43"/>
      <c r="HG2" s="43"/>
      <c r="HH2" s="43"/>
      <c r="HI2" s="43"/>
      <c r="HJ2" s="43"/>
      <c r="HK2" s="43"/>
      <c r="HL2" s="43"/>
      <c r="HM2" s="43"/>
      <c r="HN2" s="43"/>
      <c r="HO2" s="43"/>
      <c r="HP2" s="43"/>
      <c r="HQ2" s="43"/>
      <c r="HR2" s="43"/>
      <c r="HS2" s="43"/>
      <c r="HT2" s="43"/>
      <c r="HU2" s="43"/>
      <c r="HV2" s="43"/>
      <c r="HW2" s="43"/>
      <c r="HX2" s="43"/>
      <c r="HY2" s="43"/>
      <c r="HZ2" s="43"/>
      <c r="IA2" s="43"/>
      <c r="IB2" s="43"/>
      <c r="IC2" s="43"/>
      <c r="ID2" s="43"/>
      <c r="IE2" s="43"/>
      <c r="IF2" s="43"/>
      <c r="IG2" s="43"/>
      <c r="IH2" s="43"/>
      <c r="II2" s="43"/>
      <c r="IJ2" s="43"/>
      <c r="IK2" s="43"/>
      <c r="IL2" s="43"/>
      <c r="IM2" s="43"/>
      <c r="IN2" s="43"/>
      <c r="IO2" s="43"/>
      <c r="IP2" s="43"/>
      <c r="IQ2" s="43"/>
      <c r="IR2" s="43"/>
      <c r="IS2" s="43"/>
      <c r="IT2" s="43"/>
      <c r="IU2" s="43"/>
      <c r="IV2" s="43"/>
      <c r="IW2" s="43"/>
      <c r="IX2" s="43"/>
      <c r="IY2" s="43"/>
      <c r="IZ2" s="43"/>
      <c r="JA2" s="43"/>
      <c r="JB2" s="43"/>
      <c r="JC2" s="43"/>
      <c r="JD2" s="43"/>
      <c r="JE2" s="43"/>
      <c r="JF2" s="43"/>
      <c r="JG2" s="43"/>
      <c r="JH2" s="43"/>
      <c r="JI2" s="43"/>
      <c r="JJ2" s="43"/>
      <c r="JK2" s="43"/>
      <c r="JL2" s="43"/>
      <c r="JM2" s="43"/>
      <c r="JN2" s="43"/>
      <c r="JO2" s="43"/>
      <c r="JP2" s="43"/>
      <c r="JQ2" s="43"/>
      <c r="JR2" s="43"/>
      <c r="JS2" s="43"/>
      <c r="JT2" s="43"/>
      <c r="JU2" s="43"/>
      <c r="JV2" s="43"/>
      <c r="JW2" s="43"/>
      <c r="JX2" s="43"/>
      <c r="JY2" s="43"/>
      <c r="JZ2" s="43"/>
      <c r="KA2" s="43"/>
      <c r="KB2" s="43"/>
      <c r="KC2" s="43"/>
      <c r="KD2" s="43"/>
      <c r="KE2" s="43"/>
      <c r="KF2" s="43"/>
      <c r="KG2" s="43"/>
      <c r="KH2" s="43"/>
      <c r="KI2" s="43"/>
      <c r="KJ2" s="43"/>
      <c r="KK2" s="43"/>
      <c r="KL2" s="43"/>
      <c r="KM2" s="43"/>
      <c r="KN2" s="43"/>
      <c r="KO2" s="43"/>
      <c r="KP2" s="43"/>
      <c r="KQ2" s="43"/>
      <c r="KR2" s="43"/>
      <c r="KS2" s="43"/>
      <c r="KT2" s="43"/>
      <c r="KU2" s="43"/>
      <c r="KV2" s="43"/>
      <c r="KW2" s="43"/>
      <c r="KX2" s="43"/>
      <c r="KY2" s="43"/>
      <c r="KZ2" s="43"/>
      <c r="LA2" s="43"/>
      <c r="LB2" s="43"/>
      <c r="LC2" s="43"/>
      <c r="LD2" s="43"/>
      <c r="LE2" s="43"/>
      <c r="LF2" s="43"/>
      <c r="LG2" s="43"/>
      <c r="LH2" s="43"/>
      <c r="LI2" s="43"/>
      <c r="LJ2" s="43"/>
      <c r="LK2" s="43"/>
      <c r="LL2" s="43"/>
      <c r="LM2" s="43"/>
      <c r="LN2" s="43"/>
      <c r="LO2" s="43"/>
      <c r="LP2" s="43"/>
    </row>
    <row r="3" spans="1:328" ht="21.95" customHeight="1" x14ac:dyDescent="0.25">
      <c r="A3" s="11" t="s">
        <v>8</v>
      </c>
      <c r="B3" s="47" t="s">
        <v>94</v>
      </c>
      <c r="C3" s="8">
        <v>65000</v>
      </c>
      <c r="D3" s="7" t="s">
        <v>22</v>
      </c>
      <c r="E3" s="48" t="s">
        <v>22</v>
      </c>
      <c r="F3" s="49" t="s">
        <v>157</v>
      </c>
      <c r="G3" s="50" t="s">
        <v>158</v>
      </c>
      <c r="I3" s="103" t="s">
        <v>181</v>
      </c>
      <c r="J3" s="3">
        <v>75000</v>
      </c>
    </row>
    <row r="4" spans="1:328" x14ac:dyDescent="0.25">
      <c r="A4" s="11" t="s">
        <v>9</v>
      </c>
      <c r="B4" s="47" t="s">
        <v>95</v>
      </c>
      <c r="C4" s="8">
        <v>10000</v>
      </c>
      <c r="D4" s="7" t="s">
        <v>22</v>
      </c>
      <c r="E4" s="48" t="s">
        <v>22</v>
      </c>
      <c r="F4" s="49" t="s">
        <v>157</v>
      </c>
      <c r="G4" s="50" t="s">
        <v>159</v>
      </c>
      <c r="I4" s="103" t="s">
        <v>10</v>
      </c>
      <c r="J4" s="3">
        <v>18500</v>
      </c>
    </row>
    <row r="5" spans="1:328" x14ac:dyDescent="0.25">
      <c r="A5" s="11" t="s">
        <v>10</v>
      </c>
      <c r="B5" s="47" t="s">
        <v>10</v>
      </c>
      <c r="C5" s="8">
        <v>18500</v>
      </c>
      <c r="D5" s="7" t="s">
        <v>22</v>
      </c>
      <c r="E5" s="48" t="s">
        <v>22</v>
      </c>
      <c r="F5" s="49" t="s">
        <v>157</v>
      </c>
      <c r="G5" s="50" t="s">
        <v>160</v>
      </c>
      <c r="I5" s="103" t="s">
        <v>97</v>
      </c>
      <c r="J5" s="3">
        <v>5500</v>
      </c>
    </row>
    <row r="6" spans="1:328" x14ac:dyDescent="0.25">
      <c r="A6" s="11" t="s">
        <v>92</v>
      </c>
      <c r="B6" s="47" t="s">
        <v>96</v>
      </c>
      <c r="C6" s="8">
        <v>2500</v>
      </c>
      <c r="D6" s="7" t="s">
        <v>22</v>
      </c>
      <c r="E6" s="48" t="s">
        <v>22</v>
      </c>
      <c r="F6" s="49" t="s">
        <v>157</v>
      </c>
      <c r="G6" s="50" t="s">
        <v>161</v>
      </c>
      <c r="I6" s="103" t="s">
        <v>180</v>
      </c>
      <c r="J6" s="3">
        <v>4500</v>
      </c>
    </row>
    <row r="7" spans="1:328" x14ac:dyDescent="0.25">
      <c r="A7" s="11" t="s">
        <v>11</v>
      </c>
      <c r="B7" s="47" t="s">
        <v>97</v>
      </c>
      <c r="C7" s="8">
        <v>4000</v>
      </c>
      <c r="D7" s="7" t="s">
        <v>22</v>
      </c>
      <c r="E7" s="48" t="s">
        <v>22</v>
      </c>
      <c r="F7" s="49" t="s">
        <v>157</v>
      </c>
      <c r="G7" s="50" t="s">
        <v>162</v>
      </c>
      <c r="I7" s="103" t="s">
        <v>179</v>
      </c>
      <c r="J7" s="3">
        <v>3050</v>
      </c>
    </row>
    <row r="8" spans="1:328" x14ac:dyDescent="0.25">
      <c r="A8" s="11" t="s">
        <v>93</v>
      </c>
      <c r="B8" s="47" t="s">
        <v>97</v>
      </c>
      <c r="C8" s="8">
        <v>1500</v>
      </c>
      <c r="D8" s="7" t="s">
        <v>22</v>
      </c>
      <c r="E8" s="48" t="s">
        <v>22</v>
      </c>
      <c r="F8" s="49" t="s">
        <v>157</v>
      </c>
      <c r="G8" s="50" t="s">
        <v>163</v>
      </c>
    </row>
    <row r="9" spans="1:328" x14ac:dyDescent="0.25">
      <c r="A9" s="11" t="s">
        <v>7</v>
      </c>
      <c r="B9" s="47" t="s">
        <v>98</v>
      </c>
      <c r="C9" s="8">
        <v>2000</v>
      </c>
      <c r="D9" s="7" t="s">
        <v>22</v>
      </c>
      <c r="E9" s="48" t="s">
        <v>22</v>
      </c>
      <c r="F9" s="49" t="s">
        <v>157</v>
      </c>
      <c r="G9" s="50" t="s">
        <v>164</v>
      </c>
    </row>
    <row r="10" spans="1:328" x14ac:dyDescent="0.25">
      <c r="A10" s="11" t="s">
        <v>12</v>
      </c>
      <c r="B10" s="47" t="s">
        <v>99</v>
      </c>
      <c r="C10" s="8">
        <v>2500</v>
      </c>
      <c r="D10" s="7" t="s">
        <v>22</v>
      </c>
      <c r="E10" s="48" t="s">
        <v>22</v>
      </c>
      <c r="F10" s="49" t="s">
        <v>157</v>
      </c>
      <c r="G10" s="50" t="s">
        <v>165</v>
      </c>
    </row>
    <row r="11" spans="1:328" x14ac:dyDescent="0.25">
      <c r="A11" s="11" t="s">
        <v>13</v>
      </c>
      <c r="B11" s="47" t="s">
        <v>100</v>
      </c>
      <c r="C11" s="8">
        <v>110</v>
      </c>
      <c r="D11" s="7" t="s">
        <v>23</v>
      </c>
      <c r="E11" s="48" t="s">
        <v>23</v>
      </c>
      <c r="F11" s="49" t="s">
        <v>157</v>
      </c>
      <c r="G11" s="50" t="s">
        <v>166</v>
      </c>
    </row>
    <row r="12" spans="1:328" x14ac:dyDescent="0.25">
      <c r="A12" s="11" t="s">
        <v>14</v>
      </c>
      <c r="B12" s="47" t="s">
        <v>101</v>
      </c>
      <c r="C12" s="8">
        <v>100</v>
      </c>
      <c r="D12" s="7" t="s">
        <v>23</v>
      </c>
      <c r="E12" s="48" t="s">
        <v>23</v>
      </c>
      <c r="F12" s="49" t="s">
        <v>157</v>
      </c>
      <c r="G12" s="50" t="s">
        <v>167</v>
      </c>
    </row>
    <row r="13" spans="1:328" x14ac:dyDescent="0.25">
      <c r="A13" s="11" t="s">
        <v>15</v>
      </c>
      <c r="B13" s="47" t="s">
        <v>101</v>
      </c>
      <c r="C13" s="8">
        <v>95</v>
      </c>
      <c r="D13" s="7" t="s">
        <v>23</v>
      </c>
      <c r="E13" s="48" t="s">
        <v>23</v>
      </c>
      <c r="F13" s="49" t="s">
        <v>157</v>
      </c>
      <c r="G13" s="50" t="s">
        <v>168</v>
      </c>
    </row>
    <row r="14" spans="1:328" x14ac:dyDescent="0.25">
      <c r="A14" s="11" t="s">
        <v>16</v>
      </c>
      <c r="B14" s="47" t="s">
        <v>101</v>
      </c>
      <c r="C14" s="8">
        <v>50</v>
      </c>
      <c r="D14" s="7" t="s">
        <v>23</v>
      </c>
      <c r="E14" s="48" t="s">
        <v>23</v>
      </c>
      <c r="F14" s="49" t="s">
        <v>157</v>
      </c>
      <c r="G14" s="50" t="s">
        <v>171</v>
      </c>
    </row>
    <row r="15" spans="1:328" x14ac:dyDescent="0.25">
      <c r="A15" s="11" t="s">
        <v>17</v>
      </c>
      <c r="B15" s="47" t="s">
        <v>101</v>
      </c>
      <c r="C15" s="8">
        <v>195</v>
      </c>
      <c r="D15" s="7" t="s">
        <v>23</v>
      </c>
      <c r="E15" s="48" t="s">
        <v>23</v>
      </c>
      <c r="F15" s="49" t="s">
        <v>157</v>
      </c>
      <c r="G15" s="50" t="s">
        <v>169</v>
      </c>
    </row>
    <row r="16" spans="1:328" ht="16.5" thickBot="1" x14ac:dyDescent="0.3">
      <c r="A16" s="11" t="s">
        <v>18</v>
      </c>
      <c r="B16" s="47" t="s">
        <v>101</v>
      </c>
      <c r="C16" s="8">
        <v>0</v>
      </c>
      <c r="D16" s="7" t="s">
        <v>24</v>
      </c>
      <c r="E16" s="48" t="s">
        <v>24</v>
      </c>
      <c r="F16" s="51" t="s">
        <v>24</v>
      </c>
      <c r="G16" s="50" t="s">
        <v>170</v>
      </c>
    </row>
    <row r="17" spans="1:328" s="27" customFormat="1" ht="24" customHeight="1" thickTop="1" x14ac:dyDescent="0.25">
      <c r="A17" s="52" t="s">
        <v>91</v>
      </c>
      <c r="B17" s="52"/>
      <c r="C17" s="53">
        <f>SUM(C3:C16)</f>
        <v>106550</v>
      </c>
      <c r="D17" s="52"/>
      <c r="E17" s="52"/>
      <c r="F17" s="52"/>
      <c r="G17" s="52"/>
      <c r="H17" s="44"/>
      <c r="I17" s="105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  <c r="DK17" s="44"/>
      <c r="DL17" s="44"/>
      <c r="DM17" s="44"/>
      <c r="DN17" s="44"/>
      <c r="DO17" s="44"/>
      <c r="DP17" s="44"/>
      <c r="DQ17" s="44"/>
      <c r="DR17" s="44"/>
      <c r="DS17" s="44"/>
      <c r="DT17" s="44"/>
      <c r="DU17" s="44"/>
      <c r="DV17" s="44"/>
      <c r="DW17" s="44"/>
      <c r="DX17" s="44"/>
      <c r="DY17" s="44"/>
      <c r="DZ17" s="44"/>
      <c r="EA17" s="44"/>
      <c r="EB17" s="44"/>
      <c r="EC17" s="44"/>
      <c r="ED17" s="44"/>
      <c r="EE17" s="44"/>
      <c r="EF17" s="44"/>
      <c r="EG17" s="44"/>
      <c r="EH17" s="44"/>
      <c r="EI17" s="44"/>
      <c r="EJ17" s="44"/>
      <c r="EK17" s="44"/>
      <c r="EL17" s="44"/>
      <c r="EM17" s="44"/>
      <c r="EN17" s="44"/>
      <c r="EO17" s="44"/>
      <c r="EP17" s="44"/>
      <c r="EQ17" s="44"/>
      <c r="ER17" s="44"/>
      <c r="ES17" s="44"/>
      <c r="ET17" s="44"/>
      <c r="EU17" s="44"/>
      <c r="EV17" s="44"/>
      <c r="EW17" s="44"/>
      <c r="EX17" s="44"/>
      <c r="EY17" s="44"/>
      <c r="EZ17" s="44"/>
      <c r="FA17" s="44"/>
      <c r="FB17" s="44"/>
      <c r="FC17" s="44"/>
      <c r="FD17" s="44"/>
      <c r="FE17" s="44"/>
      <c r="FF17" s="44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  <c r="GW17" s="44"/>
      <c r="GX17" s="44"/>
      <c r="GY17" s="44"/>
      <c r="GZ17" s="44"/>
      <c r="HA17" s="44"/>
      <c r="HB17" s="44"/>
      <c r="HC17" s="44"/>
      <c r="HD17" s="44"/>
      <c r="HE17" s="44"/>
      <c r="HF17" s="44"/>
      <c r="HG17" s="44"/>
      <c r="HH17" s="44"/>
      <c r="HI17" s="44"/>
      <c r="HJ17" s="44"/>
      <c r="HK17" s="44"/>
      <c r="HL17" s="44"/>
      <c r="HM17" s="44"/>
      <c r="HN17" s="44"/>
      <c r="HO17" s="44"/>
      <c r="HP17" s="44"/>
      <c r="HQ17" s="44"/>
      <c r="HR17" s="44"/>
      <c r="HS17" s="44"/>
      <c r="HT17" s="44"/>
      <c r="HU17" s="44"/>
      <c r="HV17" s="44"/>
      <c r="HW17" s="44"/>
      <c r="HX17" s="44"/>
      <c r="HY17" s="44"/>
      <c r="HZ17" s="44"/>
      <c r="IA17" s="44"/>
      <c r="IB17" s="44"/>
      <c r="IC17" s="44"/>
      <c r="ID17" s="44"/>
      <c r="IE17" s="44"/>
      <c r="IF17" s="44"/>
      <c r="IG17" s="44"/>
      <c r="IH17" s="44"/>
      <c r="II17" s="44"/>
      <c r="IJ17" s="44"/>
      <c r="IK17" s="44"/>
      <c r="IL17" s="44"/>
      <c r="IM17" s="44"/>
      <c r="IN17" s="44"/>
      <c r="IO17" s="44"/>
      <c r="IP17" s="44"/>
      <c r="IQ17" s="44"/>
      <c r="IR17" s="44"/>
      <c r="IS17" s="44"/>
      <c r="IT17" s="44"/>
      <c r="IU17" s="44"/>
      <c r="IV17" s="44"/>
      <c r="IW17" s="44"/>
      <c r="IX17" s="44"/>
      <c r="IY17" s="44"/>
      <c r="IZ17" s="44"/>
      <c r="JA17" s="44"/>
      <c r="JB17" s="44"/>
      <c r="JC17" s="44"/>
      <c r="JD17" s="44"/>
      <c r="JE17" s="44"/>
      <c r="JF17" s="44"/>
      <c r="JG17" s="44"/>
      <c r="JH17" s="44"/>
      <c r="JI17" s="44"/>
      <c r="JJ17" s="44"/>
      <c r="JK17" s="44"/>
      <c r="JL17" s="44"/>
      <c r="JM17" s="44"/>
      <c r="JN17" s="44"/>
      <c r="JO17" s="44"/>
      <c r="JP17" s="44"/>
      <c r="JQ17" s="44"/>
      <c r="JR17" s="44"/>
      <c r="JS17" s="44"/>
      <c r="JT17" s="44"/>
      <c r="JU17" s="44"/>
      <c r="JV17" s="44"/>
      <c r="JW17" s="44"/>
      <c r="JX17" s="44"/>
      <c r="JY17" s="44"/>
      <c r="JZ17" s="44"/>
      <c r="KA17" s="44"/>
      <c r="KB17" s="44"/>
      <c r="KC17" s="44"/>
      <c r="KD17" s="44"/>
      <c r="KE17" s="44"/>
      <c r="KF17" s="44"/>
      <c r="KG17" s="44"/>
      <c r="KH17" s="44"/>
      <c r="KI17" s="44"/>
      <c r="KJ17" s="44"/>
      <c r="KK17" s="44"/>
      <c r="KL17" s="44"/>
      <c r="KM17" s="44"/>
      <c r="KN17" s="44"/>
      <c r="KO17" s="44"/>
      <c r="KP17" s="44"/>
      <c r="KQ17" s="44"/>
      <c r="KR17" s="44"/>
      <c r="KS17" s="44"/>
      <c r="KT17" s="44"/>
      <c r="KU17" s="44"/>
      <c r="KV17" s="44"/>
      <c r="KW17" s="44"/>
      <c r="KX17" s="44"/>
      <c r="KY17" s="44"/>
      <c r="KZ17" s="44"/>
      <c r="LA17" s="44"/>
      <c r="LB17" s="44"/>
      <c r="LC17" s="44"/>
      <c r="LD17" s="44"/>
      <c r="LE17" s="44"/>
      <c r="LF17" s="44"/>
      <c r="LG17" s="44"/>
      <c r="LH17" s="44"/>
      <c r="LI17" s="44"/>
      <c r="LJ17" s="44"/>
      <c r="LK17" s="44"/>
      <c r="LL17" s="44"/>
      <c r="LM17" s="44"/>
      <c r="LN17" s="44"/>
      <c r="LO17" s="44"/>
      <c r="LP17" s="44"/>
    </row>
  </sheetData>
  <mergeCells count="1">
    <mergeCell ref="A1:G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87B51-7596-BB4C-B9F6-71F96BE0BDB0}">
  <dimension ref="A1:O14"/>
  <sheetViews>
    <sheetView zoomScale="80" zoomScaleNormal="80" workbookViewId="0">
      <selection activeCell="D28" sqref="D28"/>
    </sheetView>
  </sheetViews>
  <sheetFormatPr defaultColWidth="11" defaultRowHeight="15.75" x14ac:dyDescent="0.25"/>
  <cols>
    <col min="1" max="1" width="21.875" style="6" customWidth="1"/>
    <col min="2" max="2" width="16.125" customWidth="1"/>
    <col min="4" max="4" width="15" customWidth="1"/>
    <col min="5" max="5" width="15.5" customWidth="1"/>
    <col min="6" max="6" width="16.125" customWidth="1"/>
    <col min="7" max="7" width="14.5" customWidth="1"/>
    <col min="9" max="9" width="15.375" style="4" customWidth="1"/>
    <col min="10" max="10" width="32" customWidth="1"/>
  </cols>
  <sheetData>
    <row r="1" spans="1:15" ht="21" x14ac:dyDescent="0.25">
      <c r="A1" s="101" t="s">
        <v>176</v>
      </c>
      <c r="B1" s="101"/>
      <c r="C1" s="101"/>
      <c r="D1" s="101"/>
      <c r="E1" s="101"/>
      <c r="F1" s="101"/>
      <c r="G1" s="101"/>
      <c r="H1" s="101"/>
      <c r="I1" s="101"/>
      <c r="J1" s="101"/>
    </row>
    <row r="2" spans="1:15" s="29" customFormat="1" ht="30" customHeight="1" x14ac:dyDescent="0.25">
      <c r="A2" s="60" t="s">
        <v>130</v>
      </c>
      <c r="B2" s="32" t="s">
        <v>1</v>
      </c>
      <c r="C2" s="32" t="s">
        <v>131</v>
      </c>
      <c r="D2" s="32" t="s">
        <v>132</v>
      </c>
      <c r="E2" s="32" t="s">
        <v>133</v>
      </c>
      <c r="F2" s="32" t="s">
        <v>134</v>
      </c>
      <c r="G2" s="32" t="s">
        <v>135</v>
      </c>
      <c r="H2" s="32" t="s">
        <v>6</v>
      </c>
      <c r="I2" s="32" t="s">
        <v>3</v>
      </c>
      <c r="J2" s="32" t="s">
        <v>5</v>
      </c>
      <c r="K2"/>
      <c r="L2"/>
      <c r="M2"/>
      <c r="N2"/>
      <c r="O2"/>
    </row>
    <row r="3" spans="1:15" x14ac:dyDescent="0.25">
      <c r="A3" s="55" t="s">
        <v>109</v>
      </c>
      <c r="B3" s="56" t="s">
        <v>110</v>
      </c>
      <c r="C3" s="56">
        <v>24</v>
      </c>
      <c r="D3" s="57">
        <v>6</v>
      </c>
      <c r="E3" s="57">
        <v>1.89</v>
      </c>
      <c r="F3" s="57">
        <f>D3-E3</f>
        <v>4.1100000000000003</v>
      </c>
      <c r="G3" s="58">
        <f>F3/D3</f>
        <v>0.68500000000000005</v>
      </c>
      <c r="H3" s="59"/>
      <c r="I3" s="56" t="s">
        <v>26</v>
      </c>
      <c r="J3" s="59" t="s">
        <v>27</v>
      </c>
    </row>
    <row r="4" spans="1:15" ht="31.5" x14ac:dyDescent="0.25">
      <c r="A4" s="55" t="s">
        <v>108</v>
      </c>
      <c r="B4" s="56" t="s">
        <v>110</v>
      </c>
      <c r="C4" s="56" t="s">
        <v>25</v>
      </c>
      <c r="D4" s="57">
        <v>5</v>
      </c>
      <c r="E4" s="57">
        <v>0.77</v>
      </c>
      <c r="F4" s="57">
        <f t="shared" ref="F4:F10" si="0">D4-E4</f>
        <v>4.2300000000000004</v>
      </c>
      <c r="G4" s="58">
        <f t="shared" ref="G4:G10" si="1">F4/D4</f>
        <v>0.84600000000000009</v>
      </c>
      <c r="H4" s="59"/>
      <c r="I4" s="56" t="s">
        <v>26</v>
      </c>
      <c r="J4" s="59" t="s">
        <v>28</v>
      </c>
    </row>
    <row r="5" spans="1:15" ht="31.5" x14ac:dyDescent="0.25">
      <c r="A5" s="55" t="s">
        <v>107</v>
      </c>
      <c r="B5" s="56" t="s">
        <v>110</v>
      </c>
      <c r="C5" s="56" t="s">
        <v>25</v>
      </c>
      <c r="D5" s="57">
        <v>7</v>
      </c>
      <c r="E5" s="57">
        <v>1.49</v>
      </c>
      <c r="F5" s="57">
        <f t="shared" si="0"/>
        <v>5.51</v>
      </c>
      <c r="G5" s="58">
        <f t="shared" si="1"/>
        <v>0.78714285714285714</v>
      </c>
      <c r="H5" s="59"/>
      <c r="I5" s="56" t="s">
        <v>26</v>
      </c>
      <c r="J5" s="59" t="s">
        <v>29</v>
      </c>
    </row>
    <row r="6" spans="1:15" x14ac:dyDescent="0.25">
      <c r="A6" s="55" t="s">
        <v>106</v>
      </c>
      <c r="B6" s="56" t="s">
        <v>110</v>
      </c>
      <c r="C6" s="56">
        <v>24</v>
      </c>
      <c r="D6" s="57">
        <v>5</v>
      </c>
      <c r="E6" s="57">
        <v>1.3</v>
      </c>
      <c r="F6" s="57">
        <f t="shared" si="0"/>
        <v>3.7</v>
      </c>
      <c r="G6" s="58">
        <f t="shared" si="1"/>
        <v>0.74</v>
      </c>
      <c r="H6" s="59"/>
      <c r="I6" s="56" t="s">
        <v>26</v>
      </c>
      <c r="J6" s="59" t="s">
        <v>30</v>
      </c>
    </row>
    <row r="7" spans="1:15" x14ac:dyDescent="0.25">
      <c r="A7" s="55" t="s">
        <v>105</v>
      </c>
      <c r="B7" s="56" t="s">
        <v>110</v>
      </c>
      <c r="C7" s="56">
        <v>16</v>
      </c>
      <c r="D7" s="57">
        <v>8</v>
      </c>
      <c r="E7" s="57">
        <v>2.8</v>
      </c>
      <c r="F7" s="57">
        <f t="shared" si="0"/>
        <v>5.2</v>
      </c>
      <c r="G7" s="58">
        <f t="shared" si="1"/>
        <v>0.65</v>
      </c>
      <c r="H7" s="59"/>
      <c r="I7" s="56" t="s">
        <v>26</v>
      </c>
      <c r="J7" s="59" t="s">
        <v>31</v>
      </c>
    </row>
    <row r="8" spans="1:15" x14ac:dyDescent="0.25">
      <c r="A8" s="55" t="s">
        <v>104</v>
      </c>
      <c r="B8" s="56" t="s">
        <v>110</v>
      </c>
      <c r="C8" s="56">
        <v>24</v>
      </c>
      <c r="D8" s="57">
        <v>6</v>
      </c>
      <c r="E8" s="57">
        <v>1.86</v>
      </c>
      <c r="F8" s="57">
        <f t="shared" si="0"/>
        <v>4.1399999999999997</v>
      </c>
      <c r="G8" s="58">
        <f t="shared" si="1"/>
        <v>0.69</v>
      </c>
      <c r="H8" s="59"/>
      <c r="I8" s="56" t="s">
        <v>26</v>
      </c>
      <c r="J8" s="59" t="s">
        <v>32</v>
      </c>
    </row>
    <row r="9" spans="1:15" x14ac:dyDescent="0.25">
      <c r="A9" s="55" t="s">
        <v>102</v>
      </c>
      <c r="B9" s="56" t="s">
        <v>111</v>
      </c>
      <c r="C9" s="56">
        <v>48</v>
      </c>
      <c r="D9" s="57">
        <v>4</v>
      </c>
      <c r="E9" s="57">
        <v>1.0900000000000001</v>
      </c>
      <c r="F9" s="57">
        <f t="shared" si="0"/>
        <v>2.91</v>
      </c>
      <c r="G9" s="58">
        <f t="shared" si="1"/>
        <v>0.72750000000000004</v>
      </c>
      <c r="H9" s="59"/>
      <c r="I9" s="56" t="s">
        <v>26</v>
      </c>
      <c r="J9" s="59" t="s">
        <v>33</v>
      </c>
    </row>
    <row r="10" spans="1:15" ht="31.5" x14ac:dyDescent="0.25">
      <c r="A10" s="55" t="s">
        <v>103</v>
      </c>
      <c r="B10" s="56" t="s">
        <v>111</v>
      </c>
      <c r="C10" s="56">
        <v>24</v>
      </c>
      <c r="D10" s="57">
        <v>3.5</v>
      </c>
      <c r="E10" s="57">
        <v>0.74</v>
      </c>
      <c r="F10" s="57">
        <f t="shared" si="0"/>
        <v>2.76</v>
      </c>
      <c r="G10" s="58">
        <f t="shared" si="1"/>
        <v>0.78857142857142848</v>
      </c>
      <c r="H10" s="59"/>
      <c r="I10" s="56" t="s">
        <v>26</v>
      </c>
      <c r="J10" s="59" t="s">
        <v>34</v>
      </c>
    </row>
    <row r="12" spans="1:15" s="29" customFormat="1" x14ac:dyDescent="0.25">
      <c r="A12" s="61" t="s">
        <v>173</v>
      </c>
      <c r="B12" s="30"/>
      <c r="C12" s="30"/>
      <c r="D12" s="54">
        <f>AVERAGE(D3:D10)</f>
        <v>5.5625</v>
      </c>
      <c r="E12" s="30"/>
      <c r="F12" s="30"/>
      <c r="G12" s="30"/>
      <c r="I12" s="62"/>
      <c r="K12"/>
      <c r="L12"/>
      <c r="M12"/>
      <c r="N12"/>
      <c r="O12"/>
    </row>
    <row r="13" spans="1:15" s="29" customFormat="1" x14ac:dyDescent="0.25">
      <c r="A13" s="61" t="s">
        <v>174</v>
      </c>
      <c r="B13" s="30"/>
      <c r="C13" s="30"/>
      <c r="D13" s="30">
        <f>AVERAGE(E3:E10)</f>
        <v>1.4924999999999999</v>
      </c>
      <c r="E13" s="30"/>
      <c r="F13" s="30"/>
      <c r="G13" s="30"/>
      <c r="I13" s="62"/>
      <c r="K13"/>
      <c r="L13"/>
      <c r="M13"/>
      <c r="N13"/>
      <c r="O13"/>
    </row>
    <row r="14" spans="1:15" s="29" customFormat="1" x14ac:dyDescent="0.25">
      <c r="A14" s="61" t="s">
        <v>175</v>
      </c>
      <c r="B14" s="30"/>
      <c r="C14" s="30"/>
      <c r="D14" s="31">
        <f>AVERAGE(G3:G10)</f>
        <v>0.73927678571428568</v>
      </c>
      <c r="E14" s="30"/>
      <c r="F14" s="30"/>
      <c r="G14" s="30"/>
      <c r="I14" s="62"/>
      <c r="K14"/>
      <c r="L14"/>
      <c r="M14"/>
      <c r="N14"/>
      <c r="O14"/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E7D8E-A73E-614E-9AEA-86D0468FE804}">
  <dimension ref="A1:L23"/>
  <sheetViews>
    <sheetView zoomScale="70" zoomScaleNormal="70" workbookViewId="0">
      <pane ySplit="2" topLeftCell="A3" activePane="bottomLeft" state="frozen"/>
      <selection pane="bottomLeft" activeCell="A3" sqref="A3:XFD3"/>
    </sheetView>
  </sheetViews>
  <sheetFormatPr defaultColWidth="11" defaultRowHeight="15.75" x14ac:dyDescent="0.25"/>
  <cols>
    <col min="1" max="1" width="12.625" style="6" customWidth="1"/>
    <col min="2" max="2" width="13.625" style="79" customWidth="1"/>
    <col min="3" max="3" width="14.625" style="79" customWidth="1"/>
    <col min="4" max="4" width="13.625" style="79" customWidth="1"/>
    <col min="5" max="5" width="17.625" style="80" customWidth="1"/>
    <col min="6" max="6" width="14.625" style="80" customWidth="1"/>
    <col min="7" max="7" width="17.625" style="82" customWidth="1"/>
    <col min="8" max="8" width="20.625" style="80" customWidth="1"/>
    <col min="9" max="9" width="15.625" style="80" customWidth="1"/>
    <col min="10" max="10" width="14.625" style="82" customWidth="1"/>
    <col min="11" max="11" width="34.25" style="79" customWidth="1"/>
    <col min="12" max="12" width="39.625" customWidth="1"/>
  </cols>
  <sheetData>
    <row r="1" spans="1:12" s="14" customFormat="1" ht="35.1" customHeight="1" x14ac:dyDescent="0.35">
      <c r="A1" s="99" t="s">
        <v>112</v>
      </c>
      <c r="B1" s="99"/>
      <c r="C1" s="99"/>
      <c r="D1" s="99"/>
      <c r="E1" s="99"/>
      <c r="F1" s="99"/>
      <c r="G1" s="99"/>
      <c r="H1" s="99"/>
      <c r="I1" s="99"/>
      <c r="J1" s="99"/>
      <c r="K1" s="99"/>
    </row>
    <row r="2" spans="1:12" s="4" customFormat="1" ht="24.95" customHeight="1" x14ac:dyDescent="0.25">
      <c r="A2" s="13" t="s">
        <v>35</v>
      </c>
      <c r="B2" s="13" t="s">
        <v>36</v>
      </c>
      <c r="C2" s="13" t="s">
        <v>88</v>
      </c>
      <c r="D2" s="13" t="s">
        <v>37</v>
      </c>
      <c r="E2" s="63" t="s">
        <v>55</v>
      </c>
      <c r="F2" s="63" t="s">
        <v>38</v>
      </c>
      <c r="G2" s="64" t="s">
        <v>39</v>
      </c>
      <c r="H2" s="63" t="s">
        <v>40</v>
      </c>
      <c r="I2" s="63" t="s">
        <v>41</v>
      </c>
      <c r="J2" s="64" t="s">
        <v>42</v>
      </c>
      <c r="K2" s="13" t="s">
        <v>3</v>
      </c>
      <c r="L2" s="49" t="s">
        <v>5</v>
      </c>
    </row>
    <row r="3" spans="1:12" ht="20.100000000000001" customHeight="1" x14ac:dyDescent="0.25">
      <c r="A3" s="66" t="s">
        <v>43</v>
      </c>
      <c r="B3" s="69">
        <v>18</v>
      </c>
      <c r="C3" s="69">
        <v>60</v>
      </c>
      <c r="D3" s="69">
        <f>B3*C3</f>
        <v>1080</v>
      </c>
      <c r="E3" s="70">
        <v>10</v>
      </c>
      <c r="F3" s="71">
        <f>D3*E3</f>
        <v>10800</v>
      </c>
      <c r="G3" s="72">
        <v>0.3</v>
      </c>
      <c r="H3" s="70">
        <f>F3*G3</f>
        <v>3240</v>
      </c>
      <c r="I3" s="71">
        <f>F3-H3</f>
        <v>7560</v>
      </c>
      <c r="J3" s="95">
        <f>I3/F3</f>
        <v>0.7</v>
      </c>
      <c r="K3" s="97" t="s">
        <v>56</v>
      </c>
      <c r="L3" s="11" t="s">
        <v>57</v>
      </c>
    </row>
    <row r="4" spans="1:12" ht="20.100000000000001" customHeight="1" x14ac:dyDescent="0.25">
      <c r="A4" s="66" t="s">
        <v>44</v>
      </c>
      <c r="B4" s="69">
        <v>16</v>
      </c>
      <c r="C4" s="69">
        <v>60</v>
      </c>
      <c r="D4" s="69">
        <f>B4*C4</f>
        <v>960</v>
      </c>
      <c r="E4" s="70">
        <v>10</v>
      </c>
      <c r="F4" s="71">
        <f>D4*E4</f>
        <v>9600</v>
      </c>
      <c r="G4" s="72">
        <v>0.3</v>
      </c>
      <c r="H4" s="73">
        <f>F4*G4</f>
        <v>2880</v>
      </c>
      <c r="I4" s="71">
        <f>F4-H4</f>
        <v>6720</v>
      </c>
      <c r="J4" s="95">
        <f>I4/F4</f>
        <v>0.7</v>
      </c>
      <c r="K4" s="97" t="s">
        <v>56</v>
      </c>
      <c r="L4" s="11"/>
    </row>
    <row r="5" spans="1:12" ht="20.100000000000001" customHeight="1" x14ac:dyDescent="0.25">
      <c r="A5" s="66" t="s">
        <v>45</v>
      </c>
      <c r="B5" s="69">
        <v>17</v>
      </c>
      <c r="C5" s="69">
        <v>60</v>
      </c>
      <c r="D5" s="69">
        <f t="shared" ref="D5:D14" si="0">B5*C5</f>
        <v>1020</v>
      </c>
      <c r="E5" s="70">
        <v>10</v>
      </c>
      <c r="F5" s="71">
        <f t="shared" ref="F5:F14" si="1">D5*E5</f>
        <v>10200</v>
      </c>
      <c r="G5" s="72">
        <v>0.3</v>
      </c>
      <c r="H5" s="73">
        <f t="shared" ref="H5:H14" si="2">F5*G5</f>
        <v>3060</v>
      </c>
      <c r="I5" s="71">
        <f t="shared" ref="I5:I14" si="3">F5-H5</f>
        <v>7140</v>
      </c>
      <c r="J5" s="95">
        <f t="shared" ref="J5:J14" si="4">I5/F5</f>
        <v>0.7</v>
      </c>
      <c r="K5" s="97" t="s">
        <v>56</v>
      </c>
      <c r="L5" s="11"/>
    </row>
    <row r="6" spans="1:12" ht="20.100000000000001" customHeight="1" x14ac:dyDescent="0.25">
      <c r="A6" s="66" t="s">
        <v>46</v>
      </c>
      <c r="B6" s="69">
        <v>17</v>
      </c>
      <c r="C6" s="69">
        <v>60</v>
      </c>
      <c r="D6" s="69">
        <f t="shared" si="0"/>
        <v>1020</v>
      </c>
      <c r="E6" s="70">
        <v>10</v>
      </c>
      <c r="F6" s="71">
        <f t="shared" si="1"/>
        <v>10200</v>
      </c>
      <c r="G6" s="72">
        <v>0.3</v>
      </c>
      <c r="H6" s="73">
        <f t="shared" si="2"/>
        <v>3060</v>
      </c>
      <c r="I6" s="71">
        <f t="shared" si="3"/>
        <v>7140</v>
      </c>
      <c r="J6" s="95">
        <f t="shared" si="4"/>
        <v>0.7</v>
      </c>
      <c r="K6" s="97" t="s">
        <v>56</v>
      </c>
      <c r="L6" s="11"/>
    </row>
    <row r="7" spans="1:12" ht="20.100000000000001" customHeight="1" x14ac:dyDescent="0.25">
      <c r="A7" s="66" t="s">
        <v>47</v>
      </c>
      <c r="B7" s="69">
        <v>18</v>
      </c>
      <c r="C7" s="69">
        <v>60</v>
      </c>
      <c r="D7" s="69">
        <f t="shared" si="0"/>
        <v>1080</v>
      </c>
      <c r="E7" s="70">
        <v>10</v>
      </c>
      <c r="F7" s="71">
        <f t="shared" si="1"/>
        <v>10800</v>
      </c>
      <c r="G7" s="72">
        <v>0.3</v>
      </c>
      <c r="H7" s="73">
        <f t="shared" si="2"/>
        <v>3240</v>
      </c>
      <c r="I7" s="71">
        <f t="shared" si="3"/>
        <v>7560</v>
      </c>
      <c r="J7" s="95">
        <f t="shared" si="4"/>
        <v>0.7</v>
      </c>
      <c r="K7" s="97" t="s">
        <v>56</v>
      </c>
      <c r="L7" s="11"/>
    </row>
    <row r="8" spans="1:12" ht="20.100000000000001" customHeight="1" x14ac:dyDescent="0.25">
      <c r="A8" s="66" t="s">
        <v>48</v>
      </c>
      <c r="B8" s="69">
        <v>17</v>
      </c>
      <c r="C8" s="69">
        <v>60</v>
      </c>
      <c r="D8" s="69">
        <f t="shared" si="0"/>
        <v>1020</v>
      </c>
      <c r="E8" s="70">
        <v>10</v>
      </c>
      <c r="F8" s="71">
        <f t="shared" si="1"/>
        <v>10200</v>
      </c>
      <c r="G8" s="72">
        <v>0.3</v>
      </c>
      <c r="H8" s="73">
        <f t="shared" si="2"/>
        <v>3060</v>
      </c>
      <c r="I8" s="71">
        <f t="shared" si="3"/>
        <v>7140</v>
      </c>
      <c r="J8" s="95">
        <f t="shared" si="4"/>
        <v>0.7</v>
      </c>
      <c r="K8" s="97" t="s">
        <v>56</v>
      </c>
      <c r="L8" s="11"/>
    </row>
    <row r="9" spans="1:12" ht="20.100000000000001" customHeight="1" x14ac:dyDescent="0.25">
      <c r="A9" s="66" t="s">
        <v>49</v>
      </c>
      <c r="B9" s="69">
        <v>18</v>
      </c>
      <c r="C9" s="69">
        <v>60</v>
      </c>
      <c r="D9" s="69">
        <f t="shared" si="0"/>
        <v>1080</v>
      </c>
      <c r="E9" s="70">
        <v>10</v>
      </c>
      <c r="F9" s="71">
        <f t="shared" si="1"/>
        <v>10800</v>
      </c>
      <c r="G9" s="72">
        <v>0.3</v>
      </c>
      <c r="H9" s="73">
        <f t="shared" si="2"/>
        <v>3240</v>
      </c>
      <c r="I9" s="71">
        <f t="shared" si="3"/>
        <v>7560</v>
      </c>
      <c r="J9" s="95">
        <f t="shared" si="4"/>
        <v>0.7</v>
      </c>
      <c r="K9" s="97" t="s">
        <v>56</v>
      </c>
      <c r="L9" s="11"/>
    </row>
    <row r="10" spans="1:12" ht="20.100000000000001" customHeight="1" x14ac:dyDescent="0.25">
      <c r="A10" s="66" t="s">
        <v>50</v>
      </c>
      <c r="B10" s="69">
        <v>17</v>
      </c>
      <c r="C10" s="69">
        <v>60</v>
      </c>
      <c r="D10" s="69">
        <f t="shared" si="0"/>
        <v>1020</v>
      </c>
      <c r="E10" s="70">
        <v>10</v>
      </c>
      <c r="F10" s="71">
        <f t="shared" si="1"/>
        <v>10200</v>
      </c>
      <c r="G10" s="72">
        <v>0.3</v>
      </c>
      <c r="H10" s="73">
        <f t="shared" si="2"/>
        <v>3060</v>
      </c>
      <c r="I10" s="71">
        <f t="shared" si="3"/>
        <v>7140</v>
      </c>
      <c r="J10" s="95">
        <f t="shared" si="4"/>
        <v>0.7</v>
      </c>
      <c r="K10" s="97" t="s">
        <v>56</v>
      </c>
      <c r="L10" s="11"/>
    </row>
    <row r="11" spans="1:12" ht="20.100000000000001" customHeight="1" x14ac:dyDescent="0.25">
      <c r="A11" s="66" t="s">
        <v>51</v>
      </c>
      <c r="B11" s="69">
        <v>17</v>
      </c>
      <c r="C11" s="69">
        <v>60</v>
      </c>
      <c r="D11" s="69">
        <f t="shared" si="0"/>
        <v>1020</v>
      </c>
      <c r="E11" s="70">
        <v>10</v>
      </c>
      <c r="F11" s="71">
        <f t="shared" si="1"/>
        <v>10200</v>
      </c>
      <c r="G11" s="72">
        <v>0.3</v>
      </c>
      <c r="H11" s="73">
        <f t="shared" si="2"/>
        <v>3060</v>
      </c>
      <c r="I11" s="71">
        <f t="shared" si="3"/>
        <v>7140</v>
      </c>
      <c r="J11" s="95">
        <f t="shared" si="4"/>
        <v>0.7</v>
      </c>
      <c r="K11" s="97" t="s">
        <v>56</v>
      </c>
      <c r="L11" s="11"/>
    </row>
    <row r="12" spans="1:12" ht="20.100000000000001" customHeight="1" x14ac:dyDescent="0.25">
      <c r="A12" s="66" t="s">
        <v>52</v>
      </c>
      <c r="B12" s="69">
        <v>18</v>
      </c>
      <c r="C12" s="69">
        <v>60</v>
      </c>
      <c r="D12" s="69">
        <f t="shared" si="0"/>
        <v>1080</v>
      </c>
      <c r="E12" s="70">
        <v>10</v>
      </c>
      <c r="F12" s="71">
        <f t="shared" si="1"/>
        <v>10800</v>
      </c>
      <c r="G12" s="72">
        <v>0.3</v>
      </c>
      <c r="H12" s="73">
        <f t="shared" si="2"/>
        <v>3240</v>
      </c>
      <c r="I12" s="71">
        <f t="shared" si="3"/>
        <v>7560</v>
      </c>
      <c r="J12" s="95">
        <f t="shared" si="4"/>
        <v>0.7</v>
      </c>
      <c r="K12" s="97" t="s">
        <v>56</v>
      </c>
      <c r="L12" s="11"/>
    </row>
    <row r="13" spans="1:12" ht="20.100000000000001" customHeight="1" x14ac:dyDescent="0.25">
      <c r="A13" s="66" t="s">
        <v>53</v>
      </c>
      <c r="B13" s="69">
        <v>16</v>
      </c>
      <c r="C13" s="69">
        <v>60</v>
      </c>
      <c r="D13" s="69">
        <f t="shared" si="0"/>
        <v>960</v>
      </c>
      <c r="E13" s="70">
        <v>10</v>
      </c>
      <c r="F13" s="71">
        <f t="shared" si="1"/>
        <v>9600</v>
      </c>
      <c r="G13" s="72">
        <v>0.3</v>
      </c>
      <c r="H13" s="73">
        <f t="shared" si="2"/>
        <v>2880</v>
      </c>
      <c r="I13" s="71">
        <f t="shared" si="3"/>
        <v>6720</v>
      </c>
      <c r="J13" s="95">
        <f t="shared" si="4"/>
        <v>0.7</v>
      </c>
      <c r="K13" s="97" t="s">
        <v>56</v>
      </c>
      <c r="L13" s="11"/>
    </row>
    <row r="14" spans="1:12" ht="20.100000000000001" customHeight="1" thickBot="1" x14ac:dyDescent="0.3">
      <c r="A14" s="67" t="s">
        <v>54</v>
      </c>
      <c r="B14" s="74">
        <v>19</v>
      </c>
      <c r="C14" s="74">
        <v>60</v>
      </c>
      <c r="D14" s="74">
        <f t="shared" si="0"/>
        <v>1140</v>
      </c>
      <c r="E14" s="75">
        <v>10</v>
      </c>
      <c r="F14" s="76">
        <f t="shared" si="1"/>
        <v>11400</v>
      </c>
      <c r="G14" s="77">
        <v>0.3</v>
      </c>
      <c r="H14" s="78">
        <f t="shared" si="2"/>
        <v>3420</v>
      </c>
      <c r="I14" s="76">
        <f t="shared" si="3"/>
        <v>7980</v>
      </c>
      <c r="J14" s="96">
        <f t="shared" si="4"/>
        <v>0.7</v>
      </c>
      <c r="K14" s="98" t="s">
        <v>56</v>
      </c>
      <c r="L14" s="65"/>
    </row>
    <row r="15" spans="1:12" ht="16.5" thickTop="1" x14ac:dyDescent="0.25">
      <c r="F15" s="81"/>
      <c r="H15" s="81"/>
      <c r="I15" s="81"/>
    </row>
    <row r="16" spans="1:12" ht="24" customHeight="1" x14ac:dyDescent="0.25">
      <c r="A16" s="100" t="s">
        <v>113</v>
      </c>
      <c r="B16" s="100"/>
      <c r="C16" s="100"/>
      <c r="D16" s="100"/>
      <c r="E16" s="100"/>
      <c r="F16" s="100"/>
      <c r="G16" s="100"/>
      <c r="H16" s="100"/>
      <c r="I16" s="100"/>
      <c r="J16" s="100"/>
      <c r="K16" s="100"/>
    </row>
    <row r="17" spans="1:11" ht="24" customHeight="1" x14ac:dyDescent="0.25">
      <c r="A17" s="68" t="s">
        <v>58</v>
      </c>
      <c r="B17" s="83"/>
      <c r="C17" s="84"/>
      <c r="D17" s="84"/>
      <c r="E17" s="85"/>
      <c r="F17" s="86">
        <f>SUM(F3:F14)</f>
        <v>124800</v>
      </c>
      <c r="G17" s="87"/>
      <c r="H17" s="85"/>
      <c r="I17" s="85"/>
      <c r="J17" s="87"/>
      <c r="K17" s="84"/>
    </row>
    <row r="18" spans="1:11" x14ac:dyDescent="0.25">
      <c r="A18" s="12" t="s">
        <v>59</v>
      </c>
      <c r="B18" s="88"/>
      <c r="F18" s="81">
        <f>AVERAGE(F3:F14)</f>
        <v>10400</v>
      </c>
      <c r="H18" s="81"/>
      <c r="I18" s="81"/>
    </row>
    <row r="19" spans="1:11" x14ac:dyDescent="0.25">
      <c r="A19" s="10" t="s">
        <v>60</v>
      </c>
      <c r="B19" s="89"/>
      <c r="F19" s="81">
        <f>MAX(F3:F14)</f>
        <v>11400</v>
      </c>
      <c r="H19" s="81"/>
      <c r="I19" s="81"/>
    </row>
    <row r="20" spans="1:11" x14ac:dyDescent="0.25">
      <c r="A20" s="10" t="s">
        <v>61</v>
      </c>
      <c r="B20" s="89"/>
      <c r="F20" s="81">
        <f>SUM(H3:H14)</f>
        <v>37440</v>
      </c>
      <c r="H20" s="81"/>
      <c r="I20" s="81"/>
    </row>
    <row r="21" spans="1:11" x14ac:dyDescent="0.25">
      <c r="A21" s="15" t="s">
        <v>62</v>
      </c>
      <c r="B21" s="90"/>
      <c r="C21" s="91"/>
      <c r="D21" s="91"/>
      <c r="E21" s="92"/>
      <c r="F21" s="93">
        <f>SUM(I3:I14)</f>
        <v>87360</v>
      </c>
      <c r="H21" s="81"/>
      <c r="I21" s="81"/>
    </row>
    <row r="22" spans="1:11" x14ac:dyDescent="0.25">
      <c r="A22" s="10" t="s">
        <v>89</v>
      </c>
      <c r="B22" s="89"/>
      <c r="F22" s="80">
        <f>MIN(F3:F14)</f>
        <v>9600</v>
      </c>
    </row>
    <row r="23" spans="1:11" x14ac:dyDescent="0.25">
      <c r="A23" s="15" t="s">
        <v>90</v>
      </c>
      <c r="B23" s="90"/>
      <c r="C23" s="91"/>
      <c r="D23" s="91"/>
      <c r="E23" s="92"/>
      <c r="F23" s="94" t="str">
        <f>IF(F17&gt;='Break-Even'!B5,"Above Break-Even","Below Break-Even")</f>
        <v>Above Break-Even</v>
      </c>
    </row>
  </sheetData>
  <mergeCells count="2">
    <mergeCell ref="A1:K1"/>
    <mergeCell ref="A16:K1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F210-FF83-2347-A1C8-F5D8AA234B3A}">
  <dimension ref="A1:G15"/>
  <sheetViews>
    <sheetView zoomScale="80" zoomScaleNormal="80" workbookViewId="0">
      <selection activeCell="C18" sqref="C18"/>
    </sheetView>
  </sheetViews>
  <sheetFormatPr defaultColWidth="11" defaultRowHeight="15.75" x14ac:dyDescent="0.25"/>
  <cols>
    <col min="1" max="1" width="22.625" customWidth="1"/>
    <col min="2" max="2" width="18.625" customWidth="1"/>
    <col min="3" max="3" width="15.625" style="3" customWidth="1"/>
    <col min="4" max="4" width="15.625" customWidth="1"/>
    <col min="5" max="5" width="18.625" customWidth="1"/>
    <col min="6" max="7" width="30.625" customWidth="1"/>
  </cols>
  <sheetData>
    <row r="1" spans="1:7" ht="24.95" customHeight="1" x14ac:dyDescent="0.35">
      <c r="A1" s="102" t="s">
        <v>147</v>
      </c>
      <c r="B1" s="102"/>
      <c r="C1" s="102"/>
      <c r="D1" s="102"/>
      <c r="E1" s="102"/>
      <c r="F1" s="102"/>
      <c r="G1" s="102"/>
    </row>
    <row r="2" spans="1:7" s="5" customFormat="1" ht="30" customHeight="1" x14ac:dyDescent="0.25">
      <c r="A2" s="19" t="s">
        <v>63</v>
      </c>
      <c r="B2" s="19" t="s">
        <v>1</v>
      </c>
      <c r="C2" s="36" t="s">
        <v>64</v>
      </c>
      <c r="D2" s="19" t="s">
        <v>136</v>
      </c>
      <c r="E2" s="19" t="s">
        <v>65</v>
      </c>
      <c r="F2" s="19" t="s">
        <v>66</v>
      </c>
      <c r="G2" s="19" t="s">
        <v>5</v>
      </c>
    </row>
    <row r="3" spans="1:7" ht="31.5" x14ac:dyDescent="0.25">
      <c r="A3" t="s">
        <v>67</v>
      </c>
      <c r="B3" t="s">
        <v>19</v>
      </c>
      <c r="C3" s="35">
        <v>1000</v>
      </c>
      <c r="D3" s="34">
        <f>C3*12</f>
        <v>12000</v>
      </c>
      <c r="E3" t="s">
        <v>22</v>
      </c>
      <c r="F3" s="2" t="s">
        <v>75</v>
      </c>
      <c r="G3" t="s">
        <v>148</v>
      </c>
    </row>
    <row r="4" spans="1:7" ht="31.5" x14ac:dyDescent="0.25">
      <c r="A4" t="s">
        <v>137</v>
      </c>
      <c r="B4" t="s">
        <v>68</v>
      </c>
      <c r="C4" s="35">
        <v>300</v>
      </c>
      <c r="D4" s="34">
        <f t="shared" ref="D4:D12" si="0">C4*12</f>
        <v>3600</v>
      </c>
      <c r="E4" t="s">
        <v>22</v>
      </c>
      <c r="F4" s="2" t="s">
        <v>76</v>
      </c>
      <c r="G4" t="s">
        <v>149</v>
      </c>
    </row>
    <row r="5" spans="1:7" ht="31.5" x14ac:dyDescent="0.25">
      <c r="A5" t="s">
        <v>138</v>
      </c>
      <c r="B5" t="s">
        <v>20</v>
      </c>
      <c r="C5" s="35">
        <v>49</v>
      </c>
      <c r="D5" s="34">
        <f t="shared" si="0"/>
        <v>588</v>
      </c>
      <c r="E5" t="s">
        <v>23</v>
      </c>
      <c r="F5" s="2" t="s">
        <v>77</v>
      </c>
      <c r="G5" t="s">
        <v>155</v>
      </c>
    </row>
    <row r="6" spans="1:7" ht="31.5" x14ac:dyDescent="0.25">
      <c r="A6" s="33" t="s">
        <v>139</v>
      </c>
      <c r="B6" t="s">
        <v>20</v>
      </c>
      <c r="C6" s="35">
        <v>100</v>
      </c>
      <c r="D6" s="34">
        <f t="shared" si="0"/>
        <v>1200</v>
      </c>
      <c r="E6" t="s">
        <v>22</v>
      </c>
      <c r="F6" s="2" t="s">
        <v>78</v>
      </c>
      <c r="G6" s="1" t="s">
        <v>85</v>
      </c>
    </row>
    <row r="7" spans="1:7" ht="31.5" x14ac:dyDescent="0.25">
      <c r="A7" t="s">
        <v>140</v>
      </c>
      <c r="B7" t="s">
        <v>70</v>
      </c>
      <c r="C7" s="35">
        <v>650</v>
      </c>
      <c r="D7" s="34">
        <f t="shared" si="0"/>
        <v>7800</v>
      </c>
      <c r="E7" t="s">
        <v>22</v>
      </c>
      <c r="F7" s="2" t="s">
        <v>83</v>
      </c>
      <c r="G7" t="s">
        <v>156</v>
      </c>
    </row>
    <row r="8" spans="1:7" ht="31.5" x14ac:dyDescent="0.25">
      <c r="A8" t="s">
        <v>141</v>
      </c>
      <c r="B8" t="s">
        <v>71</v>
      </c>
      <c r="C8" s="35">
        <v>400</v>
      </c>
      <c r="D8" s="34">
        <f t="shared" si="0"/>
        <v>4800</v>
      </c>
      <c r="E8" t="s">
        <v>22</v>
      </c>
      <c r="F8" s="2" t="s">
        <v>79</v>
      </c>
      <c r="G8" t="s">
        <v>150</v>
      </c>
    </row>
    <row r="9" spans="1:7" ht="31.5" x14ac:dyDescent="0.25">
      <c r="A9" t="s">
        <v>142</v>
      </c>
      <c r="B9" t="s">
        <v>72</v>
      </c>
      <c r="C9" s="35">
        <v>150</v>
      </c>
      <c r="D9" s="34">
        <f t="shared" si="0"/>
        <v>1800</v>
      </c>
      <c r="E9" t="s">
        <v>22</v>
      </c>
      <c r="F9" s="2" t="s">
        <v>80</v>
      </c>
      <c r="G9" t="s">
        <v>151</v>
      </c>
    </row>
    <row r="10" spans="1:7" ht="31.5" x14ac:dyDescent="0.25">
      <c r="A10" t="s">
        <v>143</v>
      </c>
      <c r="B10" t="s">
        <v>73</v>
      </c>
      <c r="C10" s="35">
        <v>2392</v>
      </c>
      <c r="D10" s="34">
        <f t="shared" si="0"/>
        <v>28704</v>
      </c>
      <c r="E10" t="s">
        <v>22</v>
      </c>
      <c r="F10" s="2" t="s">
        <v>81</v>
      </c>
      <c r="G10" t="s">
        <v>152</v>
      </c>
    </row>
    <row r="11" spans="1:7" ht="31.5" x14ac:dyDescent="0.25">
      <c r="A11" t="s">
        <v>144</v>
      </c>
      <c r="B11" t="s">
        <v>69</v>
      </c>
      <c r="C11" s="35">
        <v>416</v>
      </c>
      <c r="D11" s="34">
        <f t="shared" si="0"/>
        <v>4992</v>
      </c>
      <c r="E11" t="s">
        <v>74</v>
      </c>
      <c r="F11" s="2" t="s">
        <v>84</v>
      </c>
      <c r="G11" t="s">
        <v>153</v>
      </c>
    </row>
    <row r="12" spans="1:7" ht="31.5" x14ac:dyDescent="0.25">
      <c r="A12" t="s">
        <v>99</v>
      </c>
      <c r="B12" t="s">
        <v>21</v>
      </c>
      <c r="C12" s="35">
        <v>300</v>
      </c>
      <c r="D12" s="34">
        <f t="shared" si="0"/>
        <v>3600</v>
      </c>
      <c r="E12" t="s">
        <v>22</v>
      </c>
      <c r="F12" s="2" t="s">
        <v>82</v>
      </c>
      <c r="G12" t="s">
        <v>154</v>
      </c>
    </row>
    <row r="13" spans="1:7" x14ac:dyDescent="0.25">
      <c r="G13" s="1"/>
    </row>
    <row r="14" spans="1:7" ht="16.5" thickBot="1" x14ac:dyDescent="0.3">
      <c r="A14" s="42" t="s">
        <v>145</v>
      </c>
      <c r="B14" s="37"/>
      <c r="C14" s="38">
        <f>SUM(C3:C12)</f>
        <v>5757</v>
      </c>
    </row>
    <row r="15" spans="1:7" ht="17.25" thickTop="1" thickBot="1" x14ac:dyDescent="0.3">
      <c r="A15" s="41" t="s">
        <v>146</v>
      </c>
      <c r="B15" s="39"/>
      <c r="C15" s="40">
        <f>SUM(D3:D12)</f>
        <v>69084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2708F-C6C6-3448-96F5-D9F4694639FC}">
  <dimension ref="A1:B7"/>
  <sheetViews>
    <sheetView workbookViewId="0">
      <selection sqref="A1:B1"/>
    </sheetView>
  </sheetViews>
  <sheetFormatPr defaultColWidth="11" defaultRowHeight="15.75" x14ac:dyDescent="0.25"/>
  <cols>
    <col min="1" max="1" width="17.375" customWidth="1"/>
    <col min="2" max="2" width="21.75" customWidth="1"/>
  </cols>
  <sheetData>
    <row r="1" spans="1:2" ht="24.95" customHeight="1" x14ac:dyDescent="0.35">
      <c r="A1" s="99" t="s">
        <v>119</v>
      </c>
      <c r="B1" s="99"/>
    </row>
    <row r="2" spans="1:2" ht="24.95" customHeight="1" x14ac:dyDescent="0.25">
      <c r="A2" s="16" t="s">
        <v>1</v>
      </c>
      <c r="B2" s="16" t="s">
        <v>87</v>
      </c>
    </row>
    <row r="3" spans="1:2" x14ac:dyDescent="0.25">
      <c r="A3" s="8" t="s">
        <v>114</v>
      </c>
      <c r="B3" s="8">
        <f>'Sales Forecast'!F17</f>
        <v>124800</v>
      </c>
    </row>
    <row r="4" spans="1:2" x14ac:dyDescent="0.25">
      <c r="A4" s="8" t="s">
        <v>115</v>
      </c>
      <c r="B4" s="8">
        <f>'Sales Forecast'!F20</f>
        <v>37440</v>
      </c>
    </row>
    <row r="5" spans="1:2" x14ac:dyDescent="0.25">
      <c r="A5" s="8" t="s">
        <v>116</v>
      </c>
      <c r="B5" s="8">
        <f>B3-B4</f>
        <v>87360</v>
      </c>
    </row>
    <row r="6" spans="1:2" x14ac:dyDescent="0.25">
      <c r="A6" s="8" t="s">
        <v>117</v>
      </c>
      <c r="B6" s="8">
        <f>'Operating Expenses'!C15</f>
        <v>69084</v>
      </c>
    </row>
    <row r="7" spans="1:2" x14ac:dyDescent="0.25">
      <c r="A7" s="17" t="s">
        <v>118</v>
      </c>
      <c r="B7" s="17">
        <f>B5-B6</f>
        <v>18276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70B9B-EC65-0F4E-BD17-AEB2D881708C}">
  <dimension ref="A1:B10"/>
  <sheetViews>
    <sheetView workbookViewId="0">
      <selection activeCell="A10" sqref="A10"/>
    </sheetView>
  </sheetViews>
  <sheetFormatPr defaultColWidth="11" defaultRowHeight="15.75" x14ac:dyDescent="0.25"/>
  <cols>
    <col min="1" max="1" width="25" customWidth="1"/>
    <col min="2" max="2" width="14.875" customWidth="1"/>
  </cols>
  <sheetData>
    <row r="1" spans="1:2" ht="24.95" customHeight="1" x14ac:dyDescent="0.35">
      <c r="A1" s="102" t="s">
        <v>120</v>
      </c>
      <c r="B1" s="102"/>
    </row>
    <row r="2" spans="1:2" ht="24.95" customHeight="1" x14ac:dyDescent="0.25">
      <c r="A2" s="19" t="s">
        <v>86</v>
      </c>
      <c r="B2" s="19" t="s">
        <v>124</v>
      </c>
    </row>
    <row r="3" spans="1:2" x14ac:dyDescent="0.25">
      <c r="A3" s="11" t="s">
        <v>125</v>
      </c>
      <c r="B3" s="8">
        <f>'Profit &amp; Loss'!B6</f>
        <v>69084</v>
      </c>
    </row>
    <row r="4" spans="1:2" x14ac:dyDescent="0.25">
      <c r="A4" s="11" t="s">
        <v>121</v>
      </c>
      <c r="B4" s="9">
        <f>1-'Sales Forecast'!G3</f>
        <v>0.7</v>
      </c>
    </row>
    <row r="5" spans="1:2" x14ac:dyDescent="0.25">
      <c r="A5" s="20" t="s">
        <v>123</v>
      </c>
      <c r="B5" s="21">
        <f>B3/B4</f>
        <v>98691.42857142858</v>
      </c>
    </row>
    <row r="6" spans="1:2" x14ac:dyDescent="0.25">
      <c r="A6" s="11" t="s">
        <v>126</v>
      </c>
      <c r="B6" s="8">
        <f>B5/12</f>
        <v>8224.2857142857156</v>
      </c>
    </row>
    <row r="7" spans="1:2" x14ac:dyDescent="0.25">
      <c r="A7" s="11" t="s">
        <v>127</v>
      </c>
      <c r="B7" s="8">
        <f>B5/52</f>
        <v>1897.9120879120881</v>
      </c>
    </row>
    <row r="8" spans="1:2" x14ac:dyDescent="0.25">
      <c r="A8" s="11" t="s">
        <v>122</v>
      </c>
      <c r="B8" s="8">
        <f>'Sales Forecast'!E3</f>
        <v>10</v>
      </c>
    </row>
    <row r="9" spans="1:2" x14ac:dyDescent="0.25">
      <c r="A9" s="11" t="s">
        <v>128</v>
      </c>
      <c r="B9" s="22">
        <f>B7/B8</f>
        <v>189.79120879120882</v>
      </c>
    </row>
    <row r="10" spans="1:2" x14ac:dyDescent="0.25">
      <c r="A10" s="23" t="s">
        <v>129</v>
      </c>
      <c r="B10" s="24">
        <f>B9/4</f>
        <v>47.447802197802204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2674A-709B-1A49-9800-01619FA09913}">
  <dimension ref="A1"/>
  <sheetViews>
    <sheetView workbookViewId="0">
      <selection activeCell="H24" sqref="H24"/>
    </sheetView>
  </sheetViews>
  <sheetFormatPr defaultColWidth="11" defaultRowHeight="15.7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CB16F-556C-924E-8BC4-185722B109C7}">
  <dimension ref="A1:B3"/>
  <sheetViews>
    <sheetView workbookViewId="0">
      <selection activeCell="K10" sqref="K10"/>
    </sheetView>
  </sheetViews>
  <sheetFormatPr defaultColWidth="11" defaultRowHeight="15.75" x14ac:dyDescent="0.25"/>
  <cols>
    <col min="1" max="1" width="22" customWidth="1"/>
    <col min="2" max="2" width="13.625" customWidth="1"/>
  </cols>
  <sheetData>
    <row r="1" spans="1:2" x14ac:dyDescent="0.25">
      <c r="A1" s="25" t="s">
        <v>1</v>
      </c>
      <c r="B1" s="25" t="s">
        <v>87</v>
      </c>
    </row>
    <row r="2" spans="1:2" x14ac:dyDescent="0.25">
      <c r="A2" s="25" t="s">
        <v>117</v>
      </c>
      <c r="B2" s="26">
        <f>'Profit &amp; Loss'!B6</f>
        <v>69084</v>
      </c>
    </row>
    <row r="3" spans="1:2" x14ac:dyDescent="0.25">
      <c r="A3" s="25" t="s">
        <v>118</v>
      </c>
      <c r="B3" s="26">
        <f>'Profit &amp; Loss'!B7</f>
        <v>18276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549829F9847940BA1BF898F696D058" ma:contentTypeVersion="11" ma:contentTypeDescription="Create a new document." ma:contentTypeScope="" ma:versionID="1065868acec0a4a12bff9a33bfe81831">
  <xsd:schema xmlns:xsd="http://www.w3.org/2001/XMLSchema" xmlns:xs="http://www.w3.org/2001/XMLSchema" xmlns:p="http://schemas.microsoft.com/office/2006/metadata/properties" xmlns:ns3="caa27b9a-d2ff-4f76-aa61-4c454c0e9fe9" targetNamespace="http://schemas.microsoft.com/office/2006/metadata/properties" ma:root="true" ma:fieldsID="eea2fd2ac034fd8246cd01c5cc9c549a" ns3:_="">
    <xsd:import namespace="caa27b9a-d2ff-4f76-aa61-4c454c0e9fe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a27b9a-d2ff-4f76-aa61-4c454c0e9fe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E55471-3252-4C74-9EBE-5B78ED314D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a27b9a-d2ff-4f76-aa61-4c454c0e9f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2D61E3-62EF-49AB-BCFB-85CA77F514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B4B316-82CB-4CE7-B9CC-B67EBD303196}">
  <ds:schemaRefs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elements/1.1/"/>
    <ds:schemaRef ds:uri="caa27b9a-d2ff-4f76-aa61-4c454c0e9fe9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Startup Costs</vt:lpstr>
      <vt:lpstr>Menu &amp; Product Costs</vt:lpstr>
      <vt:lpstr>Sales Forecast</vt:lpstr>
      <vt:lpstr>Operating Expenses</vt:lpstr>
      <vt:lpstr>Profit &amp; Loss</vt:lpstr>
      <vt:lpstr>Break-Even</vt:lpstr>
      <vt:lpstr>Revenue Chart</vt:lpstr>
      <vt:lpstr>Expense-Profit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Tanza Taylor</dc:creator>
  <cp:lastModifiedBy>Tanza Taylor</cp:lastModifiedBy>
  <cp:lastPrinted>2026-09-11T19:29:57Z</cp:lastPrinted>
  <dcterms:created xsi:type="dcterms:W3CDTF">2026-09-11T01:57:24Z</dcterms:created>
  <dcterms:modified xsi:type="dcterms:W3CDTF">2026-09-15T14:19:03Z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0x01010040549829F9847940BA1BF898F696D058</vt:lpwstr>
  </property>
</Properties>
</file>